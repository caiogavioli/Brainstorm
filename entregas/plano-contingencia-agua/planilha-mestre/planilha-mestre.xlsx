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color rgb="002F4162"/>
      <sz val="14"/>
    </font>
  </fonts>
  <fills count="5">
    <fill>
      <patternFill/>
    </fill>
    <fill>
      <patternFill patternType="gray125"/>
    </fill>
    <fill>
      <patternFill patternType="solid">
        <fgColor rgb="002F4162"/>
      </patternFill>
    </fill>
    <fill>
      <patternFill patternType="solid">
        <fgColor rgb="00F6ECD3"/>
      </patternFill>
    </fill>
    <fill>
      <patternFill patternType="solid">
        <fgColor rgb="00F2EDE6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6E3E3"/>
          <bgColor rgb="00F6E3E3"/>
        </patternFill>
      </fill>
    </dxf>
    <dxf>
      <fill>
        <patternFill patternType="solid">
          <fgColor rgb="00F8E7D8"/>
          <bgColor rgb="00F8E7D8"/>
        </patternFill>
      </fill>
    </dxf>
    <dxf>
      <fill>
        <patternFill patternType="solid">
          <fgColor rgb="00D5E8DE"/>
          <bgColor rgb="00D5E8DE"/>
        </patternFill>
      </fill>
    </dxf>
    <dxf>
      <fill>
        <patternFill patternType="solid">
          <fgColor rgb="00EDE9E0"/>
          <bgColor rgb="00EDE9E0"/>
        </patternFill>
      </fill>
    </dxf>
    <dxf>
      <fill>
        <patternFill patternType="solid">
          <fgColor rgb="00E3E9F2"/>
          <bgColor rgb="00E3E9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810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9C7A35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52" customHeight="1">
      <c r="B1" s="1" t="inlineStr">
        <is>
          <t>DF Síndicos · Plano de Contingência da Água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90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 a 9 e do T (comunicação de crise) estão em entregas/plano-contingencia-agua/cenarios/; os checklists de ronda e do relatório mensal dos fornecedores estão em .../rotinas/.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25C26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7" t="inlineStr">
        <is>
          <t>Resumo da ficha</t>
        </is>
      </c>
    </row>
    <row r="2">
      <c r="A2" s="8" t="inlineStr">
        <is>
          <t>Tudo nesta aba é calculado; não digite aqui.</t>
        </is>
      </c>
    </row>
    <row r="4">
      <c r="A4" s="9" t="inlineStr">
        <is>
          <t>Situação geral</t>
        </is>
      </c>
      <c r="B4" s="10" t="n"/>
      <c r="C4" s="10" t="n"/>
    </row>
    <row r="5">
      <c r="A5" s="11" t="inlineStr">
        <is>
          <t>Semáforo geral</t>
        </is>
      </c>
      <c r="B5" s="12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9" t="inlineStr">
        <is>
          <t>Catálogo (o que existe no prédio)</t>
        </is>
      </c>
      <c r="B7" s="10" t="n"/>
      <c r="C7" s="10" t="n"/>
    </row>
    <row r="8">
      <c r="A8" s="11" t="inlineStr">
        <is>
          <t>Itens no catálogo</t>
        </is>
      </c>
      <c r="B8" s="12">
        <f>COUNTA(Catalogo!$A$2:$A$196)</f>
        <v/>
      </c>
    </row>
    <row r="9">
      <c r="A9" s="11" t="inlineStr">
        <is>
          <t>Existem (S)</t>
        </is>
      </c>
      <c r="B9" s="12">
        <f>COUNTIF(Catalogo!$H$2:$H$196,"S")</f>
        <v/>
      </c>
    </row>
    <row r="10">
      <c r="A10" s="11" t="inlineStr">
        <is>
          <t>Não existem (N)</t>
        </is>
      </c>
      <c r="B10" s="12">
        <f>COUNTIF(Catalogo!$H$2:$H$196,"N")</f>
        <v/>
      </c>
    </row>
    <row r="11">
      <c r="A11" s="11" t="inlineStr">
        <is>
          <t>Não sei (?)</t>
        </is>
      </c>
      <c r="B11" s="12">
        <f>COUNTIF(Catalogo!$H$2:$H$196,"~?")</f>
        <v/>
      </c>
      <c r="C11" s="6" t="inlineStr">
        <is>
          <t>Vale como pior caso: tratar como sem proteção</t>
        </is>
      </c>
    </row>
    <row r="12">
      <c r="A12" s="11" t="inlineStr">
        <is>
          <t>Em branco (não preenchidos)</t>
        </is>
      </c>
      <c r="B12" s="12">
        <f>COUNTBLANK(Catalogo!$H$2:$H$196)</f>
        <v/>
      </c>
    </row>
    <row r="13">
      <c r="A13" s="11" t="inlineStr">
        <is>
          <t>Pendências de vistoria (? + em branco)</t>
        </is>
      </c>
      <c r="B13" s="12">
        <f>B11+B12</f>
        <v/>
      </c>
    </row>
    <row r="14">
      <c r="A14" s="11" t="inlineStr">
        <is>
          <t>% preenchido (S + N + ?)</t>
        </is>
      </c>
      <c r="B14" s="13">
        <f>IF(B8=0,0,(B9+B10+B11)/B8)</f>
        <v/>
      </c>
    </row>
    <row r="16">
      <c r="A16" s="9" t="inlineStr">
        <is>
          <t>Matriz sistema × cenário (itens aplicáveis)</t>
        </is>
      </c>
      <c r="B16" s="10" t="n"/>
      <c r="C16" s="10" t="n"/>
    </row>
    <row r="17">
      <c r="A17" s="11" t="inlineStr">
        <is>
          <t>1 Contaminação cruzada</t>
        </is>
      </c>
      <c r="B17" s="12">
        <f>COUNTIF(Matriz!D$2:D$196,"●")</f>
        <v/>
      </c>
    </row>
    <row r="18">
      <c r="A18" s="11" t="inlineStr">
        <is>
          <t>2 Falta de água</t>
        </is>
      </c>
      <c r="B18" s="12">
        <f>COUNTIF(Matriz!E$2:E$196,"●")</f>
        <v/>
      </c>
    </row>
    <row r="19">
      <c r="A19" s="11" t="inlineStr">
        <is>
          <t>3 Água fora do padrão</t>
        </is>
      </c>
      <c r="B19" s="12">
        <f>COUNTIF(Matriz!F$2:F$196,"●")</f>
        <v/>
      </c>
    </row>
    <row r="20">
      <c r="A20" s="11" t="inlineStr">
        <is>
          <t>4 Vazamento e alagamento</t>
        </is>
      </c>
      <c r="B20" s="12">
        <f>COUNTIF(Matriz!G$2:G$196,"●")</f>
        <v/>
      </c>
    </row>
    <row r="21">
      <c r="A21" s="11" t="inlineStr">
        <is>
          <t>5 Falha de bomba ou energia</t>
        </is>
      </c>
      <c r="B21" s="12">
        <f>COUNTIF(Matriz!H$2:H$196,"●")</f>
        <v/>
      </c>
    </row>
    <row r="22">
      <c r="A22" s="11" t="inlineStr">
        <is>
          <t>6 Incêndio</t>
        </is>
      </c>
      <c r="B22" s="12">
        <f>COUNTIF(Matriz!I$2:I$196,"●")</f>
        <v/>
      </c>
    </row>
    <row r="23">
      <c r="A23" s="11" t="inlineStr">
        <is>
          <t>7 Refluxo de esgoto</t>
        </is>
      </c>
      <c r="B23" s="12">
        <f>COUNTIF(Matriz!J$2:J$196,"●")</f>
        <v/>
      </c>
    </row>
    <row r="24">
      <c r="A24" s="11" t="inlineStr">
        <is>
          <t>8 Tratamento químico</t>
        </is>
      </c>
      <c r="B24" s="12">
        <f>COUNTIF(Matriz!K$2:K$196,"●")</f>
        <v/>
      </c>
    </row>
    <row r="25">
      <c r="A25" s="11" t="inlineStr">
        <is>
          <t>9 Contaminação do reservatório</t>
        </is>
      </c>
      <c r="B25" s="12">
        <f>COUNTIF(Matriz!L$2:L$196,"●")</f>
        <v/>
      </c>
    </row>
    <row r="26">
      <c r="A26" s="11" t="inlineStr">
        <is>
          <t>T Comunicação de crise</t>
        </is>
      </c>
      <c r="B26" s="12">
        <f>COUNTIF(Matriz!M$2:M$196,"●")</f>
        <v/>
      </c>
    </row>
    <row r="28">
      <c r="A28" s="9" t="inlineStr">
        <is>
          <t>Manutenção por família</t>
        </is>
      </c>
      <c r="B28" s="10" t="n"/>
      <c r="C28" s="10" t="n"/>
    </row>
    <row r="29">
      <c r="A29" s="11" t="inlineStr">
        <is>
          <t>Famílias em dia</t>
        </is>
      </c>
      <c r="B29" s="12">
        <f>COUNTIF(Manutencao!$K$2:$K$17,"Em dia")</f>
        <v/>
      </c>
    </row>
    <row r="30">
      <c r="A30" s="11" t="inlineStr">
        <is>
          <t>Famílias VENCIDAS</t>
        </is>
      </c>
      <c r="B30" s="12">
        <f>COUNTIF(Manutencao!$K$2:$K$17,"VENCIDO")</f>
        <v/>
      </c>
    </row>
    <row r="31">
      <c r="A31" s="11" t="inlineStr">
        <is>
          <t>Famílias sem registro</t>
        </is>
      </c>
      <c r="B31" s="12">
        <f>COUNTIF(Manutencao!$K$2:$K$17,"Sem registro")</f>
        <v/>
      </c>
    </row>
    <row r="33">
      <c r="A33" s="9" t="inlineStr">
        <is>
          <t>Autovistoria</t>
        </is>
      </c>
      <c r="B33" s="10" t="n"/>
      <c r="C33" s="10" t="n"/>
    </row>
    <row r="34">
      <c r="A34" s="11" t="inlineStr">
        <is>
          <t>Itens VERMELHOS</t>
        </is>
      </c>
      <c r="B34" s="12">
        <f>COUNTIF(Autovistoria!$I$7:$I$48,"VERMELHO")</f>
        <v/>
      </c>
      <c r="C34" s="6" t="inlineStr">
        <is>
          <t>Escalar ao síndico agora</t>
        </is>
      </c>
    </row>
    <row r="35">
      <c r="A35" s="11" t="inlineStr">
        <is>
          <t>Itens AMARELOS</t>
        </is>
      </c>
      <c r="B35" s="12">
        <f>COUNTIF(Autovistoria!$I$7:$I$48,"AMARELO")</f>
        <v/>
      </c>
    </row>
    <row r="36">
      <c r="A36" s="11" t="inlineStr">
        <is>
          <t>Itens OK</t>
        </is>
      </c>
      <c r="B36" s="12">
        <f>COUNTIF(Autovistoria!$I$7:$I$48,"OK")</f>
        <v/>
      </c>
    </row>
    <row r="37">
      <c r="A37" s="11" t="inlineStr">
        <is>
          <t>Itens pendentes (sem resposta)</t>
        </is>
      </c>
      <c r="B37" s="12">
        <f>COUNTIF(Autovistoria!$I$7:$I$48,"Pendente")</f>
        <v/>
      </c>
    </row>
    <row r="39">
      <c r="A39" s="9" t="inlineStr">
        <is>
          <t>Incidentes</t>
        </is>
      </c>
      <c r="B39" s="10" t="n"/>
      <c r="C39" s="10" t="n"/>
    </row>
    <row r="40">
      <c r="A40" s="11" t="inlineStr">
        <is>
          <t>Incidentes registrados</t>
        </is>
      </c>
      <c r="B40" s="12">
        <f>COUNT(Incidentes!$B$2:$B$41)</f>
        <v/>
      </c>
    </row>
    <row r="41">
      <c r="A41" s="11" t="inlineStr">
        <is>
          <t>Incidentes não encerrados</t>
        </is>
      </c>
      <c r="B41" s="12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4162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7" t="inlineStr">
        <is>
          <t>Ficha do condomínio</t>
        </is>
      </c>
    </row>
    <row r="2">
      <c r="A2" s="8" t="inlineStr">
        <is>
          <t>Faça uma cópia desta planilha por condomínio e salve no OneDrive. Nunca no GitHub.</t>
        </is>
      </c>
    </row>
    <row r="4">
      <c r="A4" s="9" t="inlineStr">
        <is>
          <t>Identificação</t>
        </is>
      </c>
      <c r="B4" s="10" t="n"/>
    </row>
    <row r="5">
      <c r="A5" s="3" t="inlineStr">
        <is>
          <t>Nome do condomínio</t>
        </is>
      </c>
      <c r="B5" s="14" t="n"/>
    </row>
    <row r="6">
      <c r="A6" s="3" t="inlineStr">
        <is>
          <t>Administradora</t>
        </is>
      </c>
      <c r="B6" s="14" t="n"/>
    </row>
    <row r="7">
      <c r="A7" s="3" t="inlineStr">
        <is>
          <t>Tipo (escritório / loja / logístico / misto)</t>
        </is>
      </c>
      <c r="B7" s="14" t="n"/>
    </row>
    <row r="8">
      <c r="A8" s="3" t="inlineStr">
        <is>
          <t>Cidade / UF</t>
        </is>
      </c>
      <c r="B8" s="14" t="n"/>
    </row>
    <row r="9">
      <c r="A9" s="3" t="inlineStr">
        <is>
          <t>Nº de pavimentos</t>
        </is>
      </c>
      <c r="B9" s="14" t="n"/>
    </row>
    <row r="10">
      <c r="A10" s="3" t="inlineStr">
        <is>
          <t>Responsável pela ficha</t>
        </is>
      </c>
      <c r="B10" s="14" t="n"/>
    </row>
    <row r="11">
      <c r="A11" s="3" t="inlineStr">
        <is>
          <t>Data do primeiro preenchimento</t>
        </is>
      </c>
      <c r="B11" s="15" t="n"/>
    </row>
    <row r="12">
      <c r="A12" s="3" t="inlineStr">
        <is>
          <t>Data da última revisão</t>
        </is>
      </c>
      <c r="B12" s="15" t="n"/>
    </row>
    <row r="13">
      <c r="A13" s="9" t="inlineStr">
        <is>
          <t>Abastecimento e energia</t>
        </is>
      </c>
      <c r="B13" s="10" t="n"/>
    </row>
    <row r="14">
      <c r="A14" s="3" t="inlineStr">
        <is>
          <t>Abastecimento (concessionária direta / cisterna / poço / misto)</t>
        </is>
      </c>
      <c r="B14" s="14" t="n"/>
    </row>
    <row r="15">
      <c r="A15" s="3" t="inlineStr">
        <is>
          <t>Capacidade dos reservatórios (litros, inferior e superior)</t>
        </is>
      </c>
      <c r="B15" s="14" t="n"/>
    </row>
    <row r="16">
      <c r="A16" s="3" t="inlineStr">
        <is>
          <t>Autonomia de água em horas (informar de onde veio o número)</t>
        </is>
      </c>
      <c r="B16" s="14" t="n"/>
    </row>
    <row r="17">
      <c r="A17" s="3" t="inlineStr">
        <is>
          <t>Gerador atende recalque e incêndio? (S / N / ?)</t>
        </is>
      </c>
      <c r="B17" s="14" t="n"/>
    </row>
    <row r="18">
      <c r="A18" s="3" t="inlineStr">
        <is>
          <t>Autonomia de combustível do gerador (horas, fonte)</t>
        </is>
      </c>
      <c r="B18" s="14" t="n"/>
    </row>
    <row r="19">
      <c r="A19" s="3" t="inlineStr">
        <is>
          <t>Tem BMS ou supervisório com alarme? (S / N / ?)</t>
        </is>
      </c>
      <c r="B19" s="14" t="n"/>
    </row>
    <row r="20">
      <c r="A20" s="9" t="inlineStr">
        <is>
          <t>Traçadores (cores)</t>
        </is>
      </c>
      <c r="B20" s="10" t="n"/>
    </row>
    <row r="21">
      <c r="A21" s="3" t="inlineStr">
        <is>
          <t>Cor do traçador da água gelada / tratamento químico</t>
        </is>
      </c>
      <c r="B21" s="14" t="n"/>
    </row>
    <row r="22">
      <c r="A22" s="3" t="inlineStr">
        <is>
          <t>Cor do traçador do reúso</t>
        </is>
      </c>
      <c r="B22" s="14" t="n"/>
    </row>
    <row r="23">
      <c r="A23" s="3" t="inlineStr">
        <is>
          <t>Outros traçadores (incêndio, água quente)</t>
        </is>
      </c>
      <c r="B23" s="14" t="n"/>
    </row>
    <row r="24">
      <c r="A24" s="3" t="inlineStr">
        <is>
          <t>Local da torneira sentinela</t>
        </is>
      </c>
      <c r="B24" s="14" t="n"/>
    </row>
    <row r="25">
      <c r="A25" s="9" t="inlineStr">
        <is>
          <t>Documentos e locais</t>
        </is>
      </c>
      <c r="B25" s="10" t="n"/>
    </row>
    <row r="26">
      <c r="A26" s="3" t="inlineStr">
        <is>
          <t>Mapa de registros e válvulas (onde está)</t>
        </is>
      </c>
      <c r="B26" s="14" t="n"/>
    </row>
    <row r="27">
      <c r="A27" s="3" t="inlineStr">
        <is>
          <t>Projeto as-built / memoriais (onde estão)</t>
        </is>
      </c>
      <c r="B27" s="14" t="n"/>
    </row>
    <row r="28">
      <c r="A28" s="3" t="inlineStr">
        <is>
          <t>Mapeamento pós-incidente (onde está, data)</t>
        </is>
      </c>
      <c r="B28" s="14" t="n"/>
    </row>
    <row r="29">
      <c r="A29" s="3" t="inlineStr">
        <is>
          <t>PMOC (responsável e onde está)</t>
        </is>
      </c>
      <c r="B29" s="14" t="n"/>
    </row>
    <row r="30">
      <c r="A30" s="3" t="inlineStr">
        <is>
          <t>Último laudo de potabilidade (data)</t>
        </is>
      </c>
      <c r="B30" s="14" t="n"/>
    </row>
    <row r="31">
      <c r="A31" s="3" t="inlineStr">
        <is>
          <t>Última limpeza de reservatório (data)</t>
        </is>
      </c>
      <c r="B31" s="14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4162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6" t="inlineStr">
        <is>
          <t>Função</t>
        </is>
      </c>
      <c r="B1" s="16" t="inlineStr">
        <is>
          <t>Nível de escalonamento</t>
        </is>
      </c>
      <c r="C1" s="16" t="inlineStr">
        <is>
          <t>Nome / empresa</t>
        </is>
      </c>
      <c r="D1" s="16" t="inlineStr">
        <is>
          <t>Telefone (24h)</t>
        </is>
      </c>
      <c r="E1" s="16" t="inlineStr">
        <is>
          <t>E-mail</t>
        </is>
      </c>
      <c r="F1" s="16" t="inlineStr">
        <is>
          <t>Observação</t>
        </is>
      </c>
    </row>
    <row r="2">
      <c r="A2" s="2" t="inlineStr">
        <is>
          <t>Operador de ronda</t>
        </is>
      </c>
      <c r="B2" s="17" t="inlineStr">
        <is>
          <t>—</t>
        </is>
      </c>
      <c r="C2" s="14" t="n"/>
      <c r="D2" s="14" t="n"/>
      <c r="E2" s="14" t="n"/>
      <c r="F2" s="14" t="n"/>
    </row>
    <row r="3">
      <c r="A3" s="2" t="inlineStr">
        <is>
          <t>Responsável da manutenção residente</t>
        </is>
      </c>
      <c r="B3" s="17" t="inlineStr">
        <is>
          <t>1</t>
        </is>
      </c>
      <c r="C3" s="14" t="n"/>
      <c r="D3" s="14" t="n"/>
      <c r="E3" s="14" t="n"/>
      <c r="F3" s="14" t="n"/>
    </row>
    <row r="4">
      <c r="A4" s="2" t="inlineStr">
        <is>
          <t>Gestão predial / administradora</t>
        </is>
      </c>
      <c r="B4" s="17" t="inlineStr">
        <is>
          <t>2</t>
        </is>
      </c>
      <c r="C4" s="14" t="n"/>
      <c r="D4" s="14" t="n"/>
      <c r="E4" s="14" t="n"/>
      <c r="F4" s="14" t="n"/>
    </row>
    <row r="5">
      <c r="A5" s="2" t="inlineStr">
        <is>
          <t>Síndico</t>
        </is>
      </c>
      <c r="B5" s="17" t="inlineStr">
        <is>
          <t>3</t>
        </is>
      </c>
      <c r="C5" s="14" t="n"/>
      <c r="D5" s="14" t="n"/>
      <c r="E5" s="14" t="n"/>
      <c r="F5" s="14" t="n"/>
    </row>
    <row r="6">
      <c r="A6" s="2" t="inlineStr">
        <is>
          <t>Fornecedor de tratamento químico (torre, chiller)</t>
        </is>
      </c>
      <c r="B6" s="17" t="inlineStr">
        <is>
          <t>Fornecedor</t>
        </is>
      </c>
      <c r="C6" s="14" t="n"/>
      <c r="D6" s="14" t="n"/>
      <c r="E6" s="14" t="n"/>
      <c r="F6" s="14" t="n"/>
    </row>
    <row r="7">
      <c r="A7" s="2" t="inlineStr">
        <is>
          <t>Fornecedor de hidráulica</t>
        </is>
      </c>
      <c r="B7" s="17" t="inlineStr">
        <is>
          <t>Fornecedor</t>
        </is>
      </c>
      <c r="C7" s="14" t="n"/>
      <c r="D7" s="14" t="n"/>
      <c r="E7" s="14" t="n"/>
      <c r="F7" s="14" t="n"/>
    </row>
    <row r="8">
      <c r="A8" s="2" t="inlineStr">
        <is>
          <t>Fornecedor de ar-condicionado / chiller</t>
        </is>
      </c>
      <c r="B8" s="17" t="inlineStr">
        <is>
          <t>Fornecedor</t>
        </is>
      </c>
      <c r="C8" s="14" t="n"/>
      <c r="D8" s="14" t="n"/>
      <c r="E8" s="14" t="n"/>
      <c r="F8" s="14" t="n"/>
    </row>
    <row r="9">
      <c r="A9" s="2" t="inlineStr">
        <is>
          <t>Fornecedor de bombas e gerador</t>
        </is>
      </c>
      <c r="B9" s="17" t="inlineStr">
        <is>
          <t>Fornecedor</t>
        </is>
      </c>
      <c r="C9" s="14" t="n"/>
      <c r="D9" s="14" t="n"/>
      <c r="E9" s="14" t="n"/>
      <c r="F9" s="14" t="n"/>
    </row>
    <row r="10">
      <c r="A10" s="2" t="inlineStr">
        <is>
          <t>Fornecedor de proteção contra incêndio</t>
        </is>
      </c>
      <c r="B10" s="17" t="inlineStr">
        <is>
          <t>Fornecedor</t>
        </is>
      </c>
      <c r="C10" s="14" t="n"/>
      <c r="D10" s="14" t="n"/>
      <c r="E10" s="14" t="n"/>
      <c r="F10" s="14" t="n"/>
    </row>
    <row r="11">
      <c r="A11" s="2" t="inlineStr">
        <is>
          <t>Consultor especialista (contratado caso a caso)</t>
        </is>
      </c>
      <c r="B11" s="17" t="inlineStr">
        <is>
          <t>Consultor</t>
        </is>
      </c>
      <c r="C11" s="14" t="n"/>
      <c r="D11" s="14" t="n"/>
      <c r="E11" s="14" t="n"/>
      <c r="F11" s="14" t="n"/>
    </row>
    <row r="12">
      <c r="A12" s="2" t="inlineStr">
        <is>
          <t>Laboratório de análise de água</t>
        </is>
      </c>
      <c r="B12" s="17" t="inlineStr">
        <is>
          <t>Externo</t>
        </is>
      </c>
      <c r="C12" s="14" t="n"/>
      <c r="D12" s="14" t="n"/>
      <c r="E12" s="14" t="n"/>
      <c r="F12" s="14" t="n"/>
    </row>
    <row r="13">
      <c r="A13" s="2" t="inlineStr">
        <is>
          <t>Caminhão-pipa pré-qualificado</t>
        </is>
      </c>
      <c r="B13" s="17" t="inlineStr">
        <is>
          <t>Externo</t>
        </is>
      </c>
      <c r="C13" s="14" t="n"/>
      <c r="D13" s="14" t="n"/>
      <c r="E13" s="14" t="n"/>
      <c r="F13" s="14" t="n"/>
    </row>
    <row r="14">
      <c r="A14" s="2" t="inlineStr">
        <is>
          <t>Concessionária de água (central de emergência)</t>
        </is>
      </c>
      <c r="B14" s="17" t="inlineStr">
        <is>
          <t>Externo</t>
        </is>
      </c>
      <c r="C14" s="14" t="n"/>
      <c r="D14" s="14" t="n"/>
      <c r="E14" s="14" t="n"/>
      <c r="F14" s="14" t="n"/>
    </row>
    <row r="15">
      <c r="A15" s="2" t="inlineStr">
        <is>
          <t>Vigilância sanitária local</t>
        </is>
      </c>
      <c r="B15" s="17" t="inlineStr">
        <is>
          <t>Externo</t>
        </is>
      </c>
      <c r="C15" s="14" t="n"/>
      <c r="D15" s="14" t="n"/>
      <c r="E15" s="14" t="n"/>
      <c r="F15" s="14" t="n"/>
    </row>
    <row r="16">
      <c r="A16" s="2" t="inlineStr">
        <is>
          <t>SAMU</t>
        </is>
      </c>
      <c r="B16" s="17" t="inlineStr">
        <is>
          <t>Externo</t>
        </is>
      </c>
      <c r="C16" s="14" t="n"/>
      <c r="D16" s="14" t="inlineStr">
        <is>
          <t>192</t>
        </is>
      </c>
      <c r="E16" s="14" t="n"/>
      <c r="F16" s="14" t="n"/>
    </row>
    <row r="17">
      <c r="A17" s="2" t="inlineStr">
        <is>
          <t>Corpo de Bombeiros</t>
        </is>
      </c>
      <c r="B17" s="17" t="inlineStr">
        <is>
          <t>Externo</t>
        </is>
      </c>
      <c r="C17" s="14" t="n"/>
      <c r="D17" s="14" t="inlineStr">
        <is>
          <t>193</t>
        </is>
      </c>
      <c r="E17" s="14" t="n"/>
      <c r="F17" s="14" t="n"/>
    </row>
    <row r="18">
      <c r="A18" s="2" t="inlineStr">
        <is>
          <t>Centro de informação toxicológica (telefone a confirmar)</t>
        </is>
      </c>
      <c r="B18" s="17" t="inlineStr">
        <is>
          <t>Externo</t>
        </is>
      </c>
      <c r="C18" s="14" t="n"/>
      <c r="D18" s="14" t="n"/>
      <c r="E18" s="14" t="n"/>
      <c r="F18" s="14" t="inlineStr">
        <is>
          <t>Preencher com o telefone do centro de informação toxicológica (confirmar o número vigente)</t>
        </is>
      </c>
    </row>
    <row r="19">
      <c r="A19" s="3" t="n"/>
      <c r="B19" s="3" t="n"/>
      <c r="C19" s="14" t="n"/>
      <c r="D19" s="14" t="n"/>
      <c r="E19" s="14" t="n"/>
      <c r="F19" s="14" t="n"/>
    </row>
    <row r="20">
      <c r="A20" s="3" t="n"/>
      <c r="B20" s="3" t="n"/>
      <c r="C20" s="14" t="n"/>
      <c r="D20" s="14" t="n"/>
      <c r="E20" s="14" t="n"/>
      <c r="F20" s="14" t="n"/>
    </row>
    <row r="21">
      <c r="A21" s="3" t="n"/>
      <c r="B21" s="3" t="n"/>
      <c r="C21" s="14" t="n"/>
      <c r="D21" s="14" t="n"/>
      <c r="E21" s="14" t="n"/>
      <c r="F21" s="14" t="n"/>
    </row>
    <row r="22">
      <c r="A22" s="3" t="n"/>
      <c r="B22" s="3" t="n"/>
      <c r="C22" s="14" t="n"/>
      <c r="D22" s="14" t="n"/>
      <c r="E22" s="14" t="n"/>
      <c r="F22" s="14" t="n"/>
    </row>
    <row r="23">
      <c r="A23" s="3" t="n"/>
      <c r="B23" s="3" t="n"/>
      <c r="C23" s="14" t="n"/>
      <c r="D23" s="14" t="n"/>
      <c r="E23" s="14" t="n"/>
      <c r="F23" s="14" t="n"/>
    </row>
    <row r="24">
      <c r="A24" s="3" t="n"/>
      <c r="B24" s="3" t="n"/>
      <c r="C24" s="14" t="n"/>
      <c r="D24" s="14" t="n"/>
      <c r="E24" s="14" t="n"/>
      <c r="F24" s="14" t="n"/>
    </row>
    <row r="25">
      <c r="A25" s="3" t="n"/>
      <c r="B25" s="3" t="n"/>
      <c r="C25" s="14" t="n"/>
      <c r="D25" s="14" t="n"/>
      <c r="E25" s="14" t="n"/>
      <c r="F25" s="14" t="n"/>
    </row>
    <row r="26">
      <c r="A26" s="3" t="n"/>
      <c r="B26" s="3" t="n"/>
      <c r="C26" s="14" t="n"/>
      <c r="D26" s="14" t="n"/>
      <c r="E26" s="14" t="n"/>
      <c r="F26" s="14" t="n"/>
    </row>
    <row r="27">
      <c r="A27" s="3" t="n"/>
      <c r="B27" s="3" t="n"/>
      <c r="C27" s="14" t="n"/>
      <c r="D27" s="14" t="n"/>
      <c r="E27" s="14" t="n"/>
      <c r="F27" s="14" t="n"/>
    </row>
    <row r="28">
      <c r="A28" s="3" t="n"/>
      <c r="B28" s="3" t="n"/>
      <c r="C28" s="14" t="n"/>
      <c r="D28" s="14" t="n"/>
      <c r="E28" s="14" t="n"/>
      <c r="F28" s="14" t="n"/>
    </row>
    <row r="29">
      <c r="A29" s="3" t="n"/>
      <c r="B29" s="3" t="n"/>
      <c r="C29" s="14" t="n"/>
      <c r="D29" s="14" t="n"/>
      <c r="E29" s="14" t="n"/>
      <c r="F29" s="14" t="n"/>
    </row>
    <row r="30">
      <c r="A30" s="3" t="n"/>
      <c r="B30" s="3" t="n"/>
      <c r="C30" s="14" t="n"/>
      <c r="D30" s="14" t="n"/>
      <c r="E30" s="14" t="n"/>
      <c r="F30" s="14" t="n"/>
    </row>
    <row r="31">
      <c r="A31" s="3" t="n"/>
      <c r="B31" s="3" t="n"/>
      <c r="C31" s="14" t="n"/>
      <c r="D31" s="14" t="n"/>
      <c r="E31" s="14" t="n"/>
      <c r="F31" s="14" t="n"/>
    </row>
    <row r="32">
      <c r="A32" s="3" t="n"/>
      <c r="B32" s="3" t="n"/>
      <c r="C32" s="14" t="n"/>
      <c r="D32" s="14" t="n"/>
      <c r="E32" s="14" t="n"/>
      <c r="F32" s="14" t="n"/>
    </row>
    <row r="33">
      <c r="A33" s="3" t="n"/>
      <c r="B33" s="3" t="n"/>
      <c r="C33" s="14" t="n"/>
      <c r="D33" s="14" t="n"/>
      <c r="E33" s="14" t="n"/>
      <c r="F33" s="14" t="n"/>
    </row>
    <row r="34">
      <c r="A34" s="3" t="n"/>
      <c r="B34" s="3" t="n"/>
      <c r="C34" s="14" t="n"/>
      <c r="D34" s="14" t="n"/>
      <c r="E34" s="14" t="n"/>
      <c r="F34" s="14" t="n"/>
    </row>
    <row r="35">
      <c r="A35" s="3" t="n"/>
      <c r="B35" s="3" t="n"/>
      <c r="C35" s="14" t="n"/>
      <c r="D35" s="14" t="n"/>
      <c r="E35" s="14" t="n"/>
      <c r="F35" s="14" t="n"/>
    </row>
    <row r="36">
      <c r="A36" s="3" t="n"/>
      <c r="B36" s="3" t="n"/>
      <c r="C36" s="14" t="n"/>
      <c r="D36" s="14" t="n"/>
      <c r="E36" s="14" t="n"/>
      <c r="F36" s="14" t="n"/>
    </row>
    <row r="37">
      <c r="A37" s="3" t="n"/>
      <c r="B37" s="3" t="n"/>
      <c r="C37" s="14" t="n"/>
      <c r="D37" s="14" t="n"/>
      <c r="E37" s="14" t="n"/>
      <c r="F37" s="14" t="n"/>
    </row>
    <row r="40">
      <c r="A40" s="8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4162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6" t="inlineStr">
        <is>
          <t>ID</t>
        </is>
      </c>
      <c r="B1" s="16" t="inlineStr">
        <is>
          <t>Grupo</t>
        </is>
      </c>
      <c r="C1" s="16" t="inlineStr">
        <is>
          <t>Sistema</t>
        </is>
      </c>
      <c r="D1" s="16" t="inlineStr">
        <is>
          <t>O que é / onde está</t>
        </is>
      </c>
      <c r="E1" s="16" t="inlineStr">
        <is>
          <t>Como falha ou contamina</t>
        </is>
      </c>
      <c r="F1" s="16" t="inlineStr">
        <is>
          <t>Cenários</t>
        </is>
      </c>
      <c r="G1" s="16" t="inlineStr">
        <is>
          <t>Ref.</t>
        </is>
      </c>
      <c r="H1" s="16" t="inlineStr">
        <is>
          <t>Existe no prédio? (S / N / ?)</t>
        </is>
      </c>
      <c r="I1" s="16" t="inlineStr">
        <is>
          <t>Local / observação</t>
        </is>
      </c>
      <c r="J1" s="16" t="inlineStr">
        <is>
          <t>Foto ou documento</t>
        </is>
      </c>
      <c r="K1" s="16" t="inlineStr">
        <is>
          <t>Data da conferência</t>
        </is>
      </c>
      <c r="L1" s="16" t="inlineStr">
        <is>
          <t>Quem informou / fonte</t>
        </is>
      </c>
      <c r="M1" s="16" t="inlineStr">
        <is>
          <t>Tratar como</t>
        </is>
      </c>
      <c r="N1" s="16" t="inlineStr">
        <is>
          <t>Vistoria</t>
        </is>
      </c>
      <c r="O1" s="16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8" t="n"/>
      <c r="I2" s="14" t="n"/>
      <c r="J2" s="14" t="n"/>
      <c r="K2" s="15" t="n"/>
      <c r="L2" s="14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8" t="n"/>
      <c r="I3" s="14" t="n"/>
      <c r="J3" s="14" t="n"/>
      <c r="K3" s="15" t="n"/>
      <c r="L3" s="14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8" t="n"/>
      <c r="I4" s="14" t="n"/>
      <c r="J4" s="14" t="n"/>
      <c r="K4" s="15" t="n"/>
      <c r="L4" s="14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8" t="n"/>
      <c r="I5" s="14" t="n"/>
      <c r="J5" s="14" t="n"/>
      <c r="K5" s="15" t="n"/>
      <c r="L5" s="14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8" t="n"/>
      <c r="I6" s="14" t="n"/>
      <c r="J6" s="14" t="n"/>
      <c r="K6" s="15" t="n"/>
      <c r="L6" s="14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8" t="n"/>
      <c r="I7" s="14" t="n"/>
      <c r="J7" s="14" t="n"/>
      <c r="K7" s="15" t="n"/>
      <c r="L7" s="14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8" t="n"/>
      <c r="I8" s="14" t="n"/>
      <c r="J8" s="14" t="n"/>
      <c r="K8" s="15" t="n"/>
      <c r="L8" s="14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8" t="n"/>
      <c r="I9" s="14" t="n"/>
      <c r="J9" s="14" t="n"/>
      <c r="K9" s="15" t="n"/>
      <c r="L9" s="14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8" t="n"/>
      <c r="I10" s="14" t="n"/>
      <c r="J10" s="14" t="n"/>
      <c r="K10" s="15" t="n"/>
      <c r="L10" s="14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8" t="n"/>
      <c r="I11" s="14" t="n"/>
      <c r="J11" s="14" t="n"/>
      <c r="K11" s="15" t="n"/>
      <c r="L11" s="14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8" t="n"/>
      <c r="I12" s="14" t="n"/>
      <c r="J12" s="14" t="n"/>
      <c r="K12" s="15" t="n"/>
      <c r="L12" s="14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8" t="n"/>
      <c r="I13" s="14" t="n"/>
      <c r="J13" s="14" t="n"/>
      <c r="K13" s="15" t="n"/>
      <c r="L13" s="14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8" t="n"/>
      <c r="I14" s="14" t="n"/>
      <c r="J14" s="14" t="n"/>
      <c r="K14" s="15" t="n"/>
      <c r="L14" s="14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8" t="n"/>
      <c r="I15" s="14" t="n"/>
      <c r="J15" s="14" t="n"/>
      <c r="K15" s="15" t="n"/>
      <c r="L15" s="14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8" t="n"/>
      <c r="I16" s="14" t="n"/>
      <c r="J16" s="14" t="n"/>
      <c r="K16" s="15" t="n"/>
      <c r="L16" s="14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8" t="n"/>
      <c r="I17" s="14" t="n"/>
      <c r="J17" s="14" t="n"/>
      <c r="K17" s="15" t="n"/>
      <c r="L17" s="14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8" t="n"/>
      <c r="I18" s="14" t="n"/>
      <c r="J18" s="14" t="n"/>
      <c r="K18" s="15" t="n"/>
      <c r="L18" s="14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8" t="n"/>
      <c r="I19" s="14" t="n"/>
      <c r="J19" s="14" t="n"/>
      <c r="K19" s="15" t="n"/>
      <c r="L19" s="14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8" t="n"/>
      <c r="I20" s="14" t="n"/>
      <c r="J20" s="14" t="n"/>
      <c r="K20" s="15" t="n"/>
      <c r="L20" s="14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8" t="n"/>
      <c r="I21" s="14" t="n"/>
      <c r="J21" s="14" t="n"/>
      <c r="K21" s="15" t="n"/>
      <c r="L21" s="14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8" t="n"/>
      <c r="I22" s="14" t="n"/>
      <c r="J22" s="14" t="n"/>
      <c r="K22" s="15" t="n"/>
      <c r="L22" s="14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8" t="n"/>
      <c r="I23" s="14" t="n"/>
      <c r="J23" s="14" t="n"/>
      <c r="K23" s="15" t="n"/>
      <c r="L23" s="14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8" t="n"/>
      <c r="I24" s="14" t="n"/>
      <c r="J24" s="14" t="n"/>
      <c r="K24" s="15" t="n"/>
      <c r="L24" s="14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8" t="n"/>
      <c r="I25" s="14" t="n"/>
      <c r="J25" s="14" t="n"/>
      <c r="K25" s="15" t="n"/>
      <c r="L25" s="14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8" t="n"/>
      <c r="I26" s="14" t="n"/>
      <c r="J26" s="14" t="n"/>
      <c r="K26" s="15" t="n"/>
      <c r="L26" s="14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8" t="n"/>
      <c r="I27" s="14" t="n"/>
      <c r="J27" s="14" t="n"/>
      <c r="K27" s="15" t="n"/>
      <c r="L27" s="14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8" t="n"/>
      <c r="I28" s="14" t="n"/>
      <c r="J28" s="14" t="n"/>
      <c r="K28" s="15" t="n"/>
      <c r="L28" s="14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8" t="n"/>
      <c r="I29" s="14" t="n"/>
      <c r="J29" s="14" t="n"/>
      <c r="K29" s="15" t="n"/>
      <c r="L29" s="14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8" t="n"/>
      <c r="I30" s="14" t="n"/>
      <c r="J30" s="14" t="n"/>
      <c r="K30" s="15" t="n"/>
      <c r="L30" s="14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8" t="n"/>
      <c r="I31" s="14" t="n"/>
      <c r="J31" s="14" t="n"/>
      <c r="K31" s="15" t="n"/>
      <c r="L31" s="14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8" t="n"/>
      <c r="I32" s="14" t="n"/>
      <c r="J32" s="14" t="n"/>
      <c r="K32" s="15" t="n"/>
      <c r="L32" s="14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8" t="n"/>
      <c r="I33" s="14" t="n"/>
      <c r="J33" s="14" t="n"/>
      <c r="K33" s="15" t="n"/>
      <c r="L33" s="14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8" t="n"/>
      <c r="I34" s="14" t="n"/>
      <c r="J34" s="14" t="n"/>
      <c r="K34" s="15" t="n"/>
      <c r="L34" s="14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8" t="n"/>
      <c r="I35" s="14" t="n"/>
      <c r="J35" s="14" t="n"/>
      <c r="K35" s="15" t="n"/>
      <c r="L35" s="14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8" t="n"/>
      <c r="I36" s="14" t="n"/>
      <c r="J36" s="14" t="n"/>
      <c r="K36" s="15" t="n"/>
      <c r="L36" s="14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8" t="n"/>
      <c r="I37" s="14" t="n"/>
      <c r="J37" s="14" t="n"/>
      <c r="K37" s="15" t="n"/>
      <c r="L37" s="14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8" t="n"/>
      <c r="I38" s="14" t="n"/>
      <c r="J38" s="14" t="n"/>
      <c r="K38" s="15" t="n"/>
      <c r="L38" s="14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8" t="n"/>
      <c r="I39" s="14" t="n"/>
      <c r="J39" s="14" t="n"/>
      <c r="K39" s="15" t="n"/>
      <c r="L39" s="14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8" t="n"/>
      <c r="I40" s="14" t="n"/>
      <c r="J40" s="14" t="n"/>
      <c r="K40" s="15" t="n"/>
      <c r="L40" s="14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8" t="n"/>
      <c r="I41" s="14" t="n"/>
      <c r="J41" s="14" t="n"/>
      <c r="K41" s="15" t="n"/>
      <c r="L41" s="14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8" t="n"/>
      <c r="I42" s="14" t="n"/>
      <c r="J42" s="14" t="n"/>
      <c r="K42" s="15" t="n"/>
      <c r="L42" s="14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8" t="n"/>
      <c r="I43" s="14" t="n"/>
      <c r="J43" s="14" t="n"/>
      <c r="K43" s="15" t="n"/>
      <c r="L43" s="14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8" t="n"/>
      <c r="I44" s="14" t="n"/>
      <c r="J44" s="14" t="n"/>
      <c r="K44" s="15" t="n"/>
      <c r="L44" s="14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8" t="n"/>
      <c r="I45" s="14" t="n"/>
      <c r="J45" s="14" t="n"/>
      <c r="K45" s="15" t="n"/>
      <c r="L45" s="14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8" t="n"/>
      <c r="I46" s="14" t="n"/>
      <c r="J46" s="14" t="n"/>
      <c r="K46" s="15" t="n"/>
      <c r="L46" s="14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8" t="n"/>
      <c r="I47" s="14" t="n"/>
      <c r="J47" s="14" t="n"/>
      <c r="K47" s="15" t="n"/>
      <c r="L47" s="14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8" t="n"/>
      <c r="I48" s="14" t="n"/>
      <c r="J48" s="14" t="n"/>
      <c r="K48" s="15" t="n"/>
      <c r="L48" s="14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8" t="n"/>
      <c r="I49" s="14" t="n"/>
      <c r="J49" s="14" t="n"/>
      <c r="K49" s="15" t="n"/>
      <c r="L49" s="14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8" t="n"/>
      <c r="I50" s="14" t="n"/>
      <c r="J50" s="14" t="n"/>
      <c r="K50" s="15" t="n"/>
      <c r="L50" s="14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8" t="n"/>
      <c r="I51" s="14" t="n"/>
      <c r="J51" s="14" t="n"/>
      <c r="K51" s="15" t="n"/>
      <c r="L51" s="14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8" t="n"/>
      <c r="I52" s="14" t="n"/>
      <c r="J52" s="14" t="n"/>
      <c r="K52" s="15" t="n"/>
      <c r="L52" s="14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8" t="n"/>
      <c r="I53" s="14" t="n"/>
      <c r="J53" s="14" t="n"/>
      <c r="K53" s="15" t="n"/>
      <c r="L53" s="14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8" t="n"/>
      <c r="I54" s="14" t="n"/>
      <c r="J54" s="14" t="n"/>
      <c r="K54" s="15" t="n"/>
      <c r="L54" s="14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8" t="n"/>
      <c r="I55" s="14" t="n"/>
      <c r="J55" s="14" t="n"/>
      <c r="K55" s="15" t="n"/>
      <c r="L55" s="14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8" t="n"/>
      <c r="I56" s="14" t="n"/>
      <c r="J56" s="14" t="n"/>
      <c r="K56" s="15" t="n"/>
      <c r="L56" s="14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8" t="n"/>
      <c r="I57" s="14" t="n"/>
      <c r="J57" s="14" t="n"/>
      <c r="K57" s="15" t="n"/>
      <c r="L57" s="14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8" t="n"/>
      <c r="I58" s="14" t="n"/>
      <c r="J58" s="14" t="n"/>
      <c r="K58" s="15" t="n"/>
      <c r="L58" s="14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8" t="n"/>
      <c r="I59" s="14" t="n"/>
      <c r="J59" s="14" t="n"/>
      <c r="K59" s="15" t="n"/>
      <c r="L59" s="14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8" t="n"/>
      <c r="I60" s="14" t="n"/>
      <c r="J60" s="14" t="n"/>
      <c r="K60" s="15" t="n"/>
      <c r="L60" s="14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8" t="n"/>
      <c r="I61" s="14" t="n"/>
      <c r="J61" s="14" t="n"/>
      <c r="K61" s="15" t="n"/>
      <c r="L61" s="14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8" t="n"/>
      <c r="I62" s="14" t="n"/>
      <c r="J62" s="14" t="n"/>
      <c r="K62" s="15" t="n"/>
      <c r="L62" s="14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8" t="n"/>
      <c r="I63" s="14" t="n"/>
      <c r="J63" s="14" t="n"/>
      <c r="K63" s="15" t="n"/>
      <c r="L63" s="14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8" t="n"/>
      <c r="I64" s="14" t="n"/>
      <c r="J64" s="14" t="n"/>
      <c r="K64" s="15" t="n"/>
      <c r="L64" s="14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8" t="n"/>
      <c r="I65" s="14" t="n"/>
      <c r="J65" s="14" t="n"/>
      <c r="K65" s="15" t="n"/>
      <c r="L65" s="14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8" t="n"/>
      <c r="I66" s="14" t="n"/>
      <c r="J66" s="14" t="n"/>
      <c r="K66" s="15" t="n"/>
      <c r="L66" s="14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8" t="n"/>
      <c r="I67" s="14" t="n"/>
      <c r="J67" s="14" t="n"/>
      <c r="K67" s="15" t="n"/>
      <c r="L67" s="14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8" t="n"/>
      <c r="I68" s="14" t="n"/>
      <c r="J68" s="14" t="n"/>
      <c r="K68" s="15" t="n"/>
      <c r="L68" s="14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8" t="n"/>
      <c r="I69" s="14" t="n"/>
      <c r="J69" s="14" t="n"/>
      <c r="K69" s="15" t="n"/>
      <c r="L69" s="14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8" t="n"/>
      <c r="I70" s="14" t="n"/>
      <c r="J70" s="14" t="n"/>
      <c r="K70" s="15" t="n"/>
      <c r="L70" s="14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8" t="n"/>
      <c r="I71" s="14" t="n"/>
      <c r="J71" s="14" t="n"/>
      <c r="K71" s="15" t="n"/>
      <c r="L71" s="14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8" t="n"/>
      <c r="I72" s="14" t="n"/>
      <c r="J72" s="14" t="n"/>
      <c r="K72" s="15" t="n"/>
      <c r="L72" s="14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8" t="n"/>
      <c r="I73" s="14" t="n"/>
      <c r="J73" s="14" t="n"/>
      <c r="K73" s="15" t="n"/>
      <c r="L73" s="14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8" t="n"/>
      <c r="I74" s="14" t="n"/>
      <c r="J74" s="14" t="n"/>
      <c r="K74" s="15" t="n"/>
      <c r="L74" s="14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8" t="n"/>
      <c r="I75" s="14" t="n"/>
      <c r="J75" s="14" t="n"/>
      <c r="K75" s="15" t="n"/>
      <c r="L75" s="14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8" t="n"/>
      <c r="I76" s="14" t="n"/>
      <c r="J76" s="14" t="n"/>
      <c r="K76" s="15" t="n"/>
      <c r="L76" s="14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8" t="n"/>
      <c r="I77" s="14" t="n"/>
      <c r="J77" s="14" t="n"/>
      <c r="K77" s="15" t="n"/>
      <c r="L77" s="14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8" t="n"/>
      <c r="I78" s="14" t="n"/>
      <c r="J78" s="14" t="n"/>
      <c r="K78" s="15" t="n"/>
      <c r="L78" s="14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8" t="n"/>
      <c r="I79" s="14" t="n"/>
      <c r="J79" s="14" t="n"/>
      <c r="K79" s="15" t="n"/>
      <c r="L79" s="14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8" t="n"/>
      <c r="I80" s="14" t="n"/>
      <c r="J80" s="14" t="n"/>
      <c r="K80" s="15" t="n"/>
      <c r="L80" s="14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8" t="n"/>
      <c r="I81" s="14" t="n"/>
      <c r="J81" s="14" t="n"/>
      <c r="K81" s="15" t="n"/>
      <c r="L81" s="14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8" t="n"/>
      <c r="I82" s="14" t="n"/>
      <c r="J82" s="14" t="n"/>
      <c r="K82" s="15" t="n"/>
      <c r="L82" s="14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8" t="n"/>
      <c r="I83" s="14" t="n"/>
      <c r="J83" s="14" t="n"/>
      <c r="K83" s="15" t="n"/>
      <c r="L83" s="14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8" t="n"/>
      <c r="I84" s="14" t="n"/>
      <c r="J84" s="14" t="n"/>
      <c r="K84" s="15" t="n"/>
      <c r="L84" s="14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8" t="n"/>
      <c r="I85" s="14" t="n"/>
      <c r="J85" s="14" t="n"/>
      <c r="K85" s="15" t="n"/>
      <c r="L85" s="14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8" t="n"/>
      <c r="I86" s="14" t="n"/>
      <c r="J86" s="14" t="n"/>
      <c r="K86" s="15" t="n"/>
      <c r="L86" s="14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8" t="n"/>
      <c r="I87" s="14" t="n"/>
      <c r="J87" s="14" t="n"/>
      <c r="K87" s="15" t="n"/>
      <c r="L87" s="14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8" t="n"/>
      <c r="I88" s="14" t="n"/>
      <c r="J88" s="14" t="n"/>
      <c r="K88" s="15" t="n"/>
      <c r="L88" s="14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8" t="n"/>
      <c r="I89" s="14" t="n"/>
      <c r="J89" s="14" t="n"/>
      <c r="K89" s="15" t="n"/>
      <c r="L89" s="14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8" t="n"/>
      <c r="I90" s="14" t="n"/>
      <c r="J90" s="14" t="n"/>
      <c r="K90" s="15" t="n"/>
      <c r="L90" s="14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8" t="n"/>
      <c r="I91" s="14" t="n"/>
      <c r="J91" s="14" t="n"/>
      <c r="K91" s="15" t="n"/>
      <c r="L91" s="14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8" t="n"/>
      <c r="I92" s="14" t="n"/>
      <c r="J92" s="14" t="n"/>
      <c r="K92" s="15" t="n"/>
      <c r="L92" s="14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8" t="n"/>
      <c r="I93" s="14" t="n"/>
      <c r="J93" s="14" t="n"/>
      <c r="K93" s="15" t="n"/>
      <c r="L93" s="14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8" t="n"/>
      <c r="I94" s="14" t="n"/>
      <c r="J94" s="14" t="n"/>
      <c r="K94" s="15" t="n"/>
      <c r="L94" s="14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8" t="n"/>
      <c r="I95" s="14" t="n"/>
      <c r="J95" s="14" t="n"/>
      <c r="K95" s="15" t="n"/>
      <c r="L95" s="14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8" t="n"/>
      <c r="I96" s="14" t="n"/>
      <c r="J96" s="14" t="n"/>
      <c r="K96" s="15" t="n"/>
      <c r="L96" s="14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8" t="n"/>
      <c r="I97" s="14" t="n"/>
      <c r="J97" s="14" t="n"/>
      <c r="K97" s="15" t="n"/>
      <c r="L97" s="14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8" t="n"/>
      <c r="I98" s="14" t="n"/>
      <c r="J98" s="14" t="n"/>
      <c r="K98" s="15" t="n"/>
      <c r="L98" s="14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8" t="n"/>
      <c r="I99" s="14" t="n"/>
      <c r="J99" s="14" t="n"/>
      <c r="K99" s="15" t="n"/>
      <c r="L99" s="14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8" t="n"/>
      <c r="I100" s="14" t="n"/>
      <c r="J100" s="14" t="n"/>
      <c r="K100" s="15" t="n"/>
      <c r="L100" s="14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8" t="n"/>
      <c r="I101" s="14" t="n"/>
      <c r="J101" s="14" t="n"/>
      <c r="K101" s="15" t="n"/>
      <c r="L101" s="14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8" t="n"/>
      <c r="I102" s="14" t="n"/>
      <c r="J102" s="14" t="n"/>
      <c r="K102" s="15" t="n"/>
      <c r="L102" s="14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8" t="n"/>
      <c r="I103" s="14" t="n"/>
      <c r="J103" s="14" t="n"/>
      <c r="K103" s="15" t="n"/>
      <c r="L103" s="14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8" t="n"/>
      <c r="I104" s="14" t="n"/>
      <c r="J104" s="14" t="n"/>
      <c r="K104" s="15" t="n"/>
      <c r="L104" s="14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8" t="n"/>
      <c r="I105" s="14" t="n"/>
      <c r="J105" s="14" t="n"/>
      <c r="K105" s="15" t="n"/>
      <c r="L105" s="14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8" t="n"/>
      <c r="I106" s="14" t="n"/>
      <c r="J106" s="14" t="n"/>
      <c r="K106" s="15" t="n"/>
      <c r="L106" s="14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8" t="n"/>
      <c r="I107" s="14" t="n"/>
      <c r="J107" s="14" t="n"/>
      <c r="K107" s="15" t="n"/>
      <c r="L107" s="14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8" t="n"/>
      <c r="I108" s="14" t="n"/>
      <c r="J108" s="14" t="n"/>
      <c r="K108" s="15" t="n"/>
      <c r="L108" s="14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8" t="n"/>
      <c r="I109" s="14" t="n"/>
      <c r="J109" s="14" t="n"/>
      <c r="K109" s="15" t="n"/>
      <c r="L109" s="14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8" t="n"/>
      <c r="I110" s="14" t="n"/>
      <c r="J110" s="14" t="n"/>
      <c r="K110" s="15" t="n"/>
      <c r="L110" s="14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8" t="n"/>
      <c r="I111" s="14" t="n"/>
      <c r="J111" s="14" t="n"/>
      <c r="K111" s="15" t="n"/>
      <c r="L111" s="14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8" t="n"/>
      <c r="I112" s="14" t="n"/>
      <c r="J112" s="14" t="n"/>
      <c r="K112" s="15" t="n"/>
      <c r="L112" s="14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8" t="n"/>
      <c r="I113" s="14" t="n"/>
      <c r="J113" s="14" t="n"/>
      <c r="K113" s="15" t="n"/>
      <c r="L113" s="14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8" t="n"/>
      <c r="I114" s="14" t="n"/>
      <c r="J114" s="14" t="n"/>
      <c r="K114" s="15" t="n"/>
      <c r="L114" s="14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8" t="n"/>
      <c r="I115" s="14" t="n"/>
      <c r="J115" s="14" t="n"/>
      <c r="K115" s="15" t="n"/>
      <c r="L115" s="14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8" t="n"/>
      <c r="I116" s="14" t="n"/>
      <c r="J116" s="14" t="n"/>
      <c r="K116" s="15" t="n"/>
      <c r="L116" s="14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8" t="n"/>
      <c r="I117" s="14" t="n"/>
      <c r="J117" s="14" t="n"/>
      <c r="K117" s="15" t="n"/>
      <c r="L117" s="14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8" t="n"/>
      <c r="I118" s="14" t="n"/>
      <c r="J118" s="14" t="n"/>
      <c r="K118" s="15" t="n"/>
      <c r="L118" s="14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8" t="n"/>
      <c r="I119" s="14" t="n"/>
      <c r="J119" s="14" t="n"/>
      <c r="K119" s="15" t="n"/>
      <c r="L119" s="14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8" t="n"/>
      <c r="I120" s="14" t="n"/>
      <c r="J120" s="14" t="n"/>
      <c r="K120" s="15" t="n"/>
      <c r="L120" s="14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8" t="n"/>
      <c r="I121" s="14" t="n"/>
      <c r="J121" s="14" t="n"/>
      <c r="K121" s="15" t="n"/>
      <c r="L121" s="14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8" t="n"/>
      <c r="I122" s="14" t="n"/>
      <c r="J122" s="14" t="n"/>
      <c r="K122" s="15" t="n"/>
      <c r="L122" s="14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8" t="n"/>
      <c r="I123" s="14" t="n"/>
      <c r="J123" s="14" t="n"/>
      <c r="K123" s="15" t="n"/>
      <c r="L123" s="14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8" t="n"/>
      <c r="I124" s="14" t="n"/>
      <c r="J124" s="14" t="n"/>
      <c r="K124" s="15" t="n"/>
      <c r="L124" s="14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8" t="n"/>
      <c r="I125" s="14" t="n"/>
      <c r="J125" s="14" t="n"/>
      <c r="K125" s="15" t="n"/>
      <c r="L125" s="14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8" t="n"/>
      <c r="I126" s="14" t="n"/>
      <c r="J126" s="14" t="n"/>
      <c r="K126" s="15" t="n"/>
      <c r="L126" s="14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8" t="n"/>
      <c r="I127" s="14" t="n"/>
      <c r="J127" s="14" t="n"/>
      <c r="K127" s="15" t="n"/>
      <c r="L127" s="14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8" t="n"/>
      <c r="I128" s="14" t="n"/>
      <c r="J128" s="14" t="n"/>
      <c r="K128" s="15" t="n"/>
      <c r="L128" s="14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8" t="n"/>
      <c r="I129" s="14" t="n"/>
      <c r="J129" s="14" t="n"/>
      <c r="K129" s="15" t="n"/>
      <c r="L129" s="14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8" t="n"/>
      <c r="I130" s="14" t="n"/>
      <c r="J130" s="14" t="n"/>
      <c r="K130" s="15" t="n"/>
      <c r="L130" s="14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8" t="n"/>
      <c r="I131" s="14" t="n"/>
      <c r="J131" s="14" t="n"/>
      <c r="K131" s="15" t="n"/>
      <c r="L131" s="14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8" t="n"/>
      <c r="I132" s="14" t="n"/>
      <c r="J132" s="14" t="n"/>
      <c r="K132" s="15" t="n"/>
      <c r="L132" s="14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8" t="n"/>
      <c r="I133" s="14" t="n"/>
      <c r="J133" s="14" t="n"/>
      <c r="K133" s="15" t="n"/>
      <c r="L133" s="14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8" t="n"/>
      <c r="I134" s="14" t="n"/>
      <c r="J134" s="14" t="n"/>
      <c r="K134" s="15" t="n"/>
      <c r="L134" s="14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8" t="n"/>
      <c r="I135" s="14" t="n"/>
      <c r="J135" s="14" t="n"/>
      <c r="K135" s="15" t="n"/>
      <c r="L135" s="14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8" t="n"/>
      <c r="I136" s="14" t="n"/>
      <c r="J136" s="14" t="n"/>
      <c r="K136" s="15" t="n"/>
      <c r="L136" s="14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8" t="n"/>
      <c r="I137" s="14" t="n"/>
      <c r="J137" s="14" t="n"/>
      <c r="K137" s="15" t="n"/>
      <c r="L137" s="14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8" t="n"/>
      <c r="I138" s="14" t="n"/>
      <c r="J138" s="14" t="n"/>
      <c r="K138" s="15" t="n"/>
      <c r="L138" s="14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8" t="n"/>
      <c r="I139" s="14" t="n"/>
      <c r="J139" s="14" t="n"/>
      <c r="K139" s="15" t="n"/>
      <c r="L139" s="14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8" t="n"/>
      <c r="I140" s="14" t="n"/>
      <c r="J140" s="14" t="n"/>
      <c r="K140" s="15" t="n"/>
      <c r="L140" s="14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8" t="n"/>
      <c r="I141" s="14" t="n"/>
      <c r="J141" s="14" t="n"/>
      <c r="K141" s="15" t="n"/>
      <c r="L141" s="14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8" t="n"/>
      <c r="I142" s="14" t="n"/>
      <c r="J142" s="14" t="n"/>
      <c r="K142" s="15" t="n"/>
      <c r="L142" s="14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8" t="n"/>
      <c r="I143" s="14" t="n"/>
      <c r="J143" s="14" t="n"/>
      <c r="K143" s="15" t="n"/>
      <c r="L143" s="14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8" t="n"/>
      <c r="I144" s="14" t="n"/>
      <c r="J144" s="14" t="n"/>
      <c r="K144" s="15" t="n"/>
      <c r="L144" s="14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8" t="n"/>
      <c r="I145" s="14" t="n"/>
      <c r="J145" s="14" t="n"/>
      <c r="K145" s="15" t="n"/>
      <c r="L145" s="14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8" t="n"/>
      <c r="I146" s="14" t="n"/>
      <c r="J146" s="14" t="n"/>
      <c r="K146" s="15" t="n"/>
      <c r="L146" s="14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8" t="n"/>
      <c r="I147" s="14" t="n"/>
      <c r="J147" s="14" t="n"/>
      <c r="K147" s="15" t="n"/>
      <c r="L147" s="14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8" t="n"/>
      <c r="I148" s="14" t="n"/>
      <c r="J148" s="14" t="n"/>
      <c r="K148" s="15" t="n"/>
      <c r="L148" s="14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8" t="n"/>
      <c r="I149" s="14" t="n"/>
      <c r="J149" s="14" t="n"/>
      <c r="K149" s="15" t="n"/>
      <c r="L149" s="14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8" t="n"/>
      <c r="I150" s="14" t="n"/>
      <c r="J150" s="14" t="n"/>
      <c r="K150" s="15" t="n"/>
      <c r="L150" s="14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8" t="n"/>
      <c r="I151" s="14" t="n"/>
      <c r="J151" s="14" t="n"/>
      <c r="K151" s="15" t="n"/>
      <c r="L151" s="14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8" t="n"/>
      <c r="I152" s="14" t="n"/>
      <c r="J152" s="14" t="n"/>
      <c r="K152" s="15" t="n"/>
      <c r="L152" s="14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8" t="n"/>
      <c r="I153" s="14" t="n"/>
      <c r="J153" s="14" t="n"/>
      <c r="K153" s="15" t="n"/>
      <c r="L153" s="14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8" t="n"/>
      <c r="I154" s="14" t="n"/>
      <c r="J154" s="14" t="n"/>
      <c r="K154" s="15" t="n"/>
      <c r="L154" s="14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8" t="n"/>
      <c r="I155" s="14" t="n"/>
      <c r="J155" s="14" t="n"/>
      <c r="K155" s="15" t="n"/>
      <c r="L155" s="14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8" t="n"/>
      <c r="I156" s="14" t="n"/>
      <c r="J156" s="14" t="n"/>
      <c r="K156" s="15" t="n"/>
      <c r="L156" s="14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8" t="n"/>
      <c r="I157" s="14" t="n"/>
      <c r="J157" s="14" t="n"/>
      <c r="K157" s="15" t="n"/>
      <c r="L157" s="14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8" t="n"/>
      <c r="I158" s="14" t="n"/>
      <c r="J158" s="14" t="n"/>
      <c r="K158" s="15" t="n"/>
      <c r="L158" s="14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8" t="n"/>
      <c r="I159" s="14" t="n"/>
      <c r="J159" s="14" t="n"/>
      <c r="K159" s="15" t="n"/>
      <c r="L159" s="14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8" t="n"/>
      <c r="I160" s="14" t="n"/>
      <c r="J160" s="14" t="n"/>
      <c r="K160" s="15" t="n"/>
      <c r="L160" s="14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8" t="n"/>
      <c r="I161" s="14" t="n"/>
      <c r="J161" s="14" t="n"/>
      <c r="K161" s="15" t="n"/>
      <c r="L161" s="14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8" t="n"/>
      <c r="I162" s="14" t="n"/>
      <c r="J162" s="14" t="n"/>
      <c r="K162" s="15" t="n"/>
      <c r="L162" s="14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8" t="n"/>
      <c r="I163" s="14" t="n"/>
      <c r="J163" s="14" t="n"/>
      <c r="K163" s="15" t="n"/>
      <c r="L163" s="14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8" t="n"/>
      <c r="I164" s="14" t="n"/>
      <c r="J164" s="14" t="n"/>
      <c r="K164" s="15" t="n"/>
      <c r="L164" s="14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8" t="n"/>
      <c r="I165" s="14" t="n"/>
      <c r="J165" s="14" t="n"/>
      <c r="K165" s="15" t="n"/>
      <c r="L165" s="14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8" t="n"/>
      <c r="I166" s="14" t="n"/>
      <c r="J166" s="14" t="n"/>
      <c r="K166" s="15" t="n"/>
      <c r="L166" s="14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8" t="n"/>
      <c r="I167" s="14" t="n"/>
      <c r="J167" s="14" t="n"/>
      <c r="K167" s="15" t="n"/>
      <c r="L167" s="14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8" t="n"/>
      <c r="I168" s="14" t="n"/>
      <c r="J168" s="14" t="n"/>
      <c r="K168" s="15" t="n"/>
      <c r="L168" s="14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8" t="n"/>
      <c r="I169" s="14" t="n"/>
      <c r="J169" s="14" t="n"/>
      <c r="K169" s="15" t="n"/>
      <c r="L169" s="14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8" t="n"/>
      <c r="I170" s="14" t="n"/>
      <c r="J170" s="14" t="n"/>
      <c r="K170" s="15" t="n"/>
      <c r="L170" s="14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8" t="n"/>
      <c r="I171" s="14" t="n"/>
      <c r="J171" s="14" t="n"/>
      <c r="K171" s="15" t="n"/>
      <c r="L171" s="14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8" t="n"/>
      <c r="I172" s="14" t="n"/>
      <c r="J172" s="14" t="n"/>
      <c r="K172" s="15" t="n"/>
      <c r="L172" s="14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8" t="n"/>
      <c r="I173" s="14" t="n"/>
      <c r="J173" s="14" t="n"/>
      <c r="K173" s="15" t="n"/>
      <c r="L173" s="14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8" t="n"/>
      <c r="I174" s="14" t="n"/>
      <c r="J174" s="14" t="n"/>
      <c r="K174" s="15" t="n"/>
      <c r="L174" s="14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8" t="n"/>
      <c r="I175" s="14" t="n"/>
      <c r="J175" s="14" t="n"/>
      <c r="K175" s="15" t="n"/>
      <c r="L175" s="14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8" t="n"/>
      <c r="I176" s="14" t="n"/>
      <c r="J176" s="14" t="n"/>
      <c r="K176" s="15" t="n"/>
      <c r="L176" s="14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8" t="n"/>
      <c r="I177" s="14" t="n"/>
      <c r="J177" s="14" t="n"/>
      <c r="K177" s="15" t="n"/>
      <c r="L177" s="14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8" t="n"/>
      <c r="I178" s="14" t="n"/>
      <c r="J178" s="14" t="n"/>
      <c r="K178" s="15" t="n"/>
      <c r="L178" s="14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8" t="n"/>
      <c r="I179" s="14" t="n"/>
      <c r="J179" s="14" t="n"/>
      <c r="K179" s="15" t="n"/>
      <c r="L179" s="14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8" t="n"/>
      <c r="I180" s="14" t="n"/>
      <c r="J180" s="14" t="n"/>
      <c r="K180" s="15" t="n"/>
      <c r="L180" s="14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8" t="n"/>
      <c r="I181" s="14" t="n"/>
      <c r="J181" s="14" t="n"/>
      <c r="K181" s="15" t="n"/>
      <c r="L181" s="14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8" t="n"/>
      <c r="I182" s="14" t="n"/>
      <c r="J182" s="14" t="n"/>
      <c r="K182" s="15" t="n"/>
      <c r="L182" s="14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8" t="n"/>
      <c r="I183" s="14" t="n"/>
      <c r="J183" s="14" t="n"/>
      <c r="K183" s="15" t="n"/>
      <c r="L183" s="14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8" t="n"/>
      <c r="I184" s="14" t="n"/>
      <c r="J184" s="14" t="n"/>
      <c r="K184" s="15" t="n"/>
      <c r="L184" s="14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8" t="n"/>
      <c r="I185" s="14" t="n"/>
      <c r="J185" s="14" t="n"/>
      <c r="K185" s="15" t="n"/>
      <c r="L185" s="14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8" t="n"/>
      <c r="I186" s="14" t="n"/>
      <c r="J186" s="14" t="n"/>
      <c r="K186" s="15" t="n"/>
      <c r="L186" s="14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8" t="n"/>
      <c r="I187" s="14" t="n"/>
      <c r="J187" s="14" t="n"/>
      <c r="K187" s="15" t="n"/>
      <c r="L187" s="14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8" t="n"/>
      <c r="I188" s="14" t="n"/>
      <c r="J188" s="14" t="n"/>
      <c r="K188" s="15" t="n"/>
      <c r="L188" s="14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8" t="n"/>
      <c r="I189" s="14" t="n"/>
      <c r="J189" s="14" t="n"/>
      <c r="K189" s="15" t="n"/>
      <c r="L189" s="14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8" t="n"/>
      <c r="I190" s="14" t="n"/>
      <c r="J190" s="14" t="n"/>
      <c r="K190" s="15" t="n"/>
      <c r="L190" s="14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8" t="n"/>
      <c r="I191" s="14" t="n"/>
      <c r="J191" s="14" t="n"/>
      <c r="K191" s="15" t="n"/>
      <c r="L191" s="14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8" t="n"/>
      <c r="I192" s="14" t="n"/>
      <c r="J192" s="14" t="n"/>
      <c r="K192" s="15" t="n"/>
      <c r="L192" s="14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8" t="n"/>
      <c r="I193" s="14" t="n"/>
      <c r="J193" s="14" t="n"/>
      <c r="K193" s="15" t="n"/>
      <c r="L193" s="14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8" t="n"/>
      <c r="I194" s="14" t="n"/>
      <c r="J194" s="14" t="n"/>
      <c r="K194" s="15" t="n"/>
      <c r="L194" s="14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8" t="n"/>
      <c r="I195" s="14" t="n"/>
      <c r="J195" s="14" t="n"/>
      <c r="K195" s="15" t="n"/>
      <c r="L195" s="14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8" t="n"/>
      <c r="I196" s="14" t="n"/>
      <c r="J196" s="14" t="n"/>
      <c r="K196" s="15" t="n"/>
      <c r="L196" s="14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4162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6" t="inlineStr">
        <is>
          <t>ID</t>
        </is>
      </c>
      <c r="B1" s="16" t="inlineStr">
        <is>
          <t>Sistema</t>
        </is>
      </c>
      <c r="C1" s="16" t="inlineStr">
        <is>
          <t>Existe?</t>
        </is>
      </c>
      <c r="D1" s="16" t="inlineStr">
        <is>
          <t>1</t>
        </is>
      </c>
      <c r="E1" s="16" t="inlineStr">
        <is>
          <t>2</t>
        </is>
      </c>
      <c r="F1" s="16" t="inlineStr">
        <is>
          <t>3</t>
        </is>
      </c>
      <c r="G1" s="16" t="inlineStr">
        <is>
          <t>4</t>
        </is>
      </c>
      <c r="H1" s="16" t="inlineStr">
        <is>
          <t>5</t>
        </is>
      </c>
      <c r="I1" s="16" t="inlineStr">
        <is>
          <t>6</t>
        </is>
      </c>
      <c r="J1" s="16" t="inlineStr">
        <is>
          <t>7</t>
        </is>
      </c>
      <c r="K1" s="16" t="inlineStr">
        <is>
          <t>8</t>
        </is>
      </c>
      <c r="L1" s="16" t="inlineStr">
        <is>
          <t>9</t>
        </is>
      </c>
      <c r="M1" s="16" t="inlineStr">
        <is>
          <t>T</t>
        </is>
      </c>
    </row>
    <row r="2">
      <c r="A2" s="3">
        <f>Catalogo!A2</f>
        <v/>
      </c>
      <c r="B2" s="3">
        <f>Catalogo!C2</f>
        <v/>
      </c>
      <c r="C2" s="17">
        <f>IF(Catalogo!H2="","(vazio)",Catalogo!H2)</f>
        <v/>
      </c>
      <c r="D2" s="17">
        <f>IF(AND(ISNUMBER(SEARCH(","&amp;D$1&amp;",",","&amp;SUBSTITUTE(Catalogo!$F2," ","")&amp;",")),Catalogo!$H2&lt;&gt;"N"),"●","")</f>
        <v/>
      </c>
      <c r="E2" s="17">
        <f>IF(AND(ISNUMBER(SEARCH(","&amp;E$1&amp;",",","&amp;SUBSTITUTE(Catalogo!$F2," ","")&amp;",")),Catalogo!$H2&lt;&gt;"N"),"●","")</f>
        <v/>
      </c>
      <c r="F2" s="17">
        <f>IF(AND(ISNUMBER(SEARCH(","&amp;F$1&amp;",",","&amp;SUBSTITUTE(Catalogo!$F2," ","")&amp;",")),Catalogo!$H2&lt;&gt;"N"),"●","")</f>
        <v/>
      </c>
      <c r="G2" s="17">
        <f>IF(AND(ISNUMBER(SEARCH(","&amp;G$1&amp;",",","&amp;SUBSTITUTE(Catalogo!$F2," ","")&amp;",")),Catalogo!$H2&lt;&gt;"N"),"●","")</f>
        <v/>
      </c>
      <c r="H2" s="17">
        <f>IF(AND(ISNUMBER(SEARCH(","&amp;H$1&amp;",",","&amp;SUBSTITUTE(Catalogo!$F2," ","")&amp;",")),Catalogo!$H2&lt;&gt;"N"),"●","")</f>
        <v/>
      </c>
      <c r="I2" s="17">
        <f>IF(AND(ISNUMBER(SEARCH(","&amp;I$1&amp;",",","&amp;SUBSTITUTE(Catalogo!$F2," ","")&amp;",")),Catalogo!$H2&lt;&gt;"N"),"●","")</f>
        <v/>
      </c>
      <c r="J2" s="17">
        <f>IF(AND(ISNUMBER(SEARCH(","&amp;J$1&amp;",",","&amp;SUBSTITUTE(Catalogo!$F2," ","")&amp;",")),Catalogo!$H2&lt;&gt;"N"),"●","")</f>
        <v/>
      </c>
      <c r="K2" s="17">
        <f>IF(AND(ISNUMBER(SEARCH(","&amp;K$1&amp;",",","&amp;SUBSTITUTE(Catalogo!$F2," ","")&amp;",")),Catalogo!$H2&lt;&gt;"N"),"●","")</f>
        <v/>
      </c>
      <c r="L2" s="17">
        <f>IF(AND(ISNUMBER(SEARCH(","&amp;L$1&amp;",",","&amp;SUBSTITUTE(Catalogo!$F2," ","")&amp;",")),Catalogo!$H2&lt;&gt;"N"),"●","")</f>
        <v/>
      </c>
      <c r="M2" s="17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7">
        <f>IF(Catalogo!H3="","(vazio)",Catalogo!H3)</f>
        <v/>
      </c>
      <c r="D3" s="17">
        <f>IF(AND(ISNUMBER(SEARCH(","&amp;D$1&amp;",",","&amp;SUBSTITUTE(Catalogo!$F3," ","")&amp;",")),Catalogo!$H3&lt;&gt;"N"),"●","")</f>
        <v/>
      </c>
      <c r="E3" s="17">
        <f>IF(AND(ISNUMBER(SEARCH(","&amp;E$1&amp;",",","&amp;SUBSTITUTE(Catalogo!$F3," ","")&amp;",")),Catalogo!$H3&lt;&gt;"N"),"●","")</f>
        <v/>
      </c>
      <c r="F3" s="17">
        <f>IF(AND(ISNUMBER(SEARCH(","&amp;F$1&amp;",",","&amp;SUBSTITUTE(Catalogo!$F3," ","")&amp;",")),Catalogo!$H3&lt;&gt;"N"),"●","")</f>
        <v/>
      </c>
      <c r="G3" s="17">
        <f>IF(AND(ISNUMBER(SEARCH(","&amp;G$1&amp;",",","&amp;SUBSTITUTE(Catalogo!$F3," ","")&amp;",")),Catalogo!$H3&lt;&gt;"N"),"●","")</f>
        <v/>
      </c>
      <c r="H3" s="17">
        <f>IF(AND(ISNUMBER(SEARCH(","&amp;H$1&amp;",",","&amp;SUBSTITUTE(Catalogo!$F3," ","")&amp;",")),Catalogo!$H3&lt;&gt;"N"),"●","")</f>
        <v/>
      </c>
      <c r="I3" s="17">
        <f>IF(AND(ISNUMBER(SEARCH(","&amp;I$1&amp;",",","&amp;SUBSTITUTE(Catalogo!$F3," ","")&amp;",")),Catalogo!$H3&lt;&gt;"N"),"●","")</f>
        <v/>
      </c>
      <c r="J3" s="17">
        <f>IF(AND(ISNUMBER(SEARCH(","&amp;J$1&amp;",",","&amp;SUBSTITUTE(Catalogo!$F3," ","")&amp;",")),Catalogo!$H3&lt;&gt;"N"),"●","")</f>
        <v/>
      </c>
      <c r="K3" s="17">
        <f>IF(AND(ISNUMBER(SEARCH(","&amp;K$1&amp;",",","&amp;SUBSTITUTE(Catalogo!$F3," ","")&amp;",")),Catalogo!$H3&lt;&gt;"N"),"●","")</f>
        <v/>
      </c>
      <c r="L3" s="17">
        <f>IF(AND(ISNUMBER(SEARCH(","&amp;L$1&amp;",",","&amp;SUBSTITUTE(Catalogo!$F3," ","")&amp;",")),Catalogo!$H3&lt;&gt;"N"),"●","")</f>
        <v/>
      </c>
      <c r="M3" s="17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7">
        <f>IF(Catalogo!H4="","(vazio)",Catalogo!H4)</f>
        <v/>
      </c>
      <c r="D4" s="17">
        <f>IF(AND(ISNUMBER(SEARCH(","&amp;D$1&amp;",",","&amp;SUBSTITUTE(Catalogo!$F4," ","")&amp;",")),Catalogo!$H4&lt;&gt;"N"),"●","")</f>
        <v/>
      </c>
      <c r="E4" s="17">
        <f>IF(AND(ISNUMBER(SEARCH(","&amp;E$1&amp;",",","&amp;SUBSTITUTE(Catalogo!$F4," ","")&amp;",")),Catalogo!$H4&lt;&gt;"N"),"●","")</f>
        <v/>
      </c>
      <c r="F4" s="17">
        <f>IF(AND(ISNUMBER(SEARCH(","&amp;F$1&amp;",",","&amp;SUBSTITUTE(Catalogo!$F4," ","")&amp;",")),Catalogo!$H4&lt;&gt;"N"),"●","")</f>
        <v/>
      </c>
      <c r="G4" s="17">
        <f>IF(AND(ISNUMBER(SEARCH(","&amp;G$1&amp;",",","&amp;SUBSTITUTE(Catalogo!$F4," ","")&amp;",")),Catalogo!$H4&lt;&gt;"N"),"●","")</f>
        <v/>
      </c>
      <c r="H4" s="17">
        <f>IF(AND(ISNUMBER(SEARCH(","&amp;H$1&amp;",",","&amp;SUBSTITUTE(Catalogo!$F4," ","")&amp;",")),Catalogo!$H4&lt;&gt;"N"),"●","")</f>
        <v/>
      </c>
      <c r="I4" s="17">
        <f>IF(AND(ISNUMBER(SEARCH(","&amp;I$1&amp;",",","&amp;SUBSTITUTE(Catalogo!$F4," ","")&amp;",")),Catalogo!$H4&lt;&gt;"N"),"●","")</f>
        <v/>
      </c>
      <c r="J4" s="17">
        <f>IF(AND(ISNUMBER(SEARCH(","&amp;J$1&amp;",",","&amp;SUBSTITUTE(Catalogo!$F4," ","")&amp;",")),Catalogo!$H4&lt;&gt;"N"),"●","")</f>
        <v/>
      </c>
      <c r="K4" s="17">
        <f>IF(AND(ISNUMBER(SEARCH(","&amp;K$1&amp;",",","&amp;SUBSTITUTE(Catalogo!$F4," ","")&amp;",")),Catalogo!$H4&lt;&gt;"N"),"●","")</f>
        <v/>
      </c>
      <c r="L4" s="17">
        <f>IF(AND(ISNUMBER(SEARCH(","&amp;L$1&amp;",",","&amp;SUBSTITUTE(Catalogo!$F4," ","")&amp;",")),Catalogo!$H4&lt;&gt;"N"),"●","")</f>
        <v/>
      </c>
      <c r="M4" s="17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7">
        <f>IF(Catalogo!H5="","(vazio)",Catalogo!H5)</f>
        <v/>
      </c>
      <c r="D5" s="17">
        <f>IF(AND(ISNUMBER(SEARCH(","&amp;D$1&amp;",",","&amp;SUBSTITUTE(Catalogo!$F5," ","")&amp;",")),Catalogo!$H5&lt;&gt;"N"),"●","")</f>
        <v/>
      </c>
      <c r="E5" s="17">
        <f>IF(AND(ISNUMBER(SEARCH(","&amp;E$1&amp;",",","&amp;SUBSTITUTE(Catalogo!$F5," ","")&amp;",")),Catalogo!$H5&lt;&gt;"N"),"●","")</f>
        <v/>
      </c>
      <c r="F5" s="17">
        <f>IF(AND(ISNUMBER(SEARCH(","&amp;F$1&amp;",",","&amp;SUBSTITUTE(Catalogo!$F5," ","")&amp;",")),Catalogo!$H5&lt;&gt;"N"),"●","")</f>
        <v/>
      </c>
      <c r="G5" s="17">
        <f>IF(AND(ISNUMBER(SEARCH(","&amp;G$1&amp;",",","&amp;SUBSTITUTE(Catalogo!$F5," ","")&amp;",")),Catalogo!$H5&lt;&gt;"N"),"●","")</f>
        <v/>
      </c>
      <c r="H5" s="17">
        <f>IF(AND(ISNUMBER(SEARCH(","&amp;H$1&amp;",",","&amp;SUBSTITUTE(Catalogo!$F5," ","")&amp;",")),Catalogo!$H5&lt;&gt;"N"),"●","")</f>
        <v/>
      </c>
      <c r="I5" s="17">
        <f>IF(AND(ISNUMBER(SEARCH(","&amp;I$1&amp;",",","&amp;SUBSTITUTE(Catalogo!$F5," ","")&amp;",")),Catalogo!$H5&lt;&gt;"N"),"●","")</f>
        <v/>
      </c>
      <c r="J5" s="17">
        <f>IF(AND(ISNUMBER(SEARCH(","&amp;J$1&amp;",",","&amp;SUBSTITUTE(Catalogo!$F5," ","")&amp;",")),Catalogo!$H5&lt;&gt;"N"),"●","")</f>
        <v/>
      </c>
      <c r="K5" s="17">
        <f>IF(AND(ISNUMBER(SEARCH(","&amp;K$1&amp;",",","&amp;SUBSTITUTE(Catalogo!$F5," ","")&amp;",")),Catalogo!$H5&lt;&gt;"N"),"●","")</f>
        <v/>
      </c>
      <c r="L5" s="17">
        <f>IF(AND(ISNUMBER(SEARCH(","&amp;L$1&amp;",",","&amp;SUBSTITUTE(Catalogo!$F5," ","")&amp;",")),Catalogo!$H5&lt;&gt;"N"),"●","")</f>
        <v/>
      </c>
      <c r="M5" s="17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7">
        <f>IF(Catalogo!H6="","(vazio)",Catalogo!H6)</f>
        <v/>
      </c>
      <c r="D6" s="17">
        <f>IF(AND(ISNUMBER(SEARCH(","&amp;D$1&amp;",",","&amp;SUBSTITUTE(Catalogo!$F6," ","")&amp;",")),Catalogo!$H6&lt;&gt;"N"),"●","")</f>
        <v/>
      </c>
      <c r="E6" s="17">
        <f>IF(AND(ISNUMBER(SEARCH(","&amp;E$1&amp;",",","&amp;SUBSTITUTE(Catalogo!$F6," ","")&amp;",")),Catalogo!$H6&lt;&gt;"N"),"●","")</f>
        <v/>
      </c>
      <c r="F6" s="17">
        <f>IF(AND(ISNUMBER(SEARCH(","&amp;F$1&amp;",",","&amp;SUBSTITUTE(Catalogo!$F6," ","")&amp;",")),Catalogo!$H6&lt;&gt;"N"),"●","")</f>
        <v/>
      </c>
      <c r="G6" s="17">
        <f>IF(AND(ISNUMBER(SEARCH(","&amp;G$1&amp;",",","&amp;SUBSTITUTE(Catalogo!$F6," ","")&amp;",")),Catalogo!$H6&lt;&gt;"N"),"●","")</f>
        <v/>
      </c>
      <c r="H6" s="17">
        <f>IF(AND(ISNUMBER(SEARCH(","&amp;H$1&amp;",",","&amp;SUBSTITUTE(Catalogo!$F6," ","")&amp;",")),Catalogo!$H6&lt;&gt;"N"),"●","")</f>
        <v/>
      </c>
      <c r="I6" s="17">
        <f>IF(AND(ISNUMBER(SEARCH(","&amp;I$1&amp;",",","&amp;SUBSTITUTE(Catalogo!$F6," ","")&amp;",")),Catalogo!$H6&lt;&gt;"N"),"●","")</f>
        <v/>
      </c>
      <c r="J6" s="17">
        <f>IF(AND(ISNUMBER(SEARCH(","&amp;J$1&amp;",",","&amp;SUBSTITUTE(Catalogo!$F6," ","")&amp;",")),Catalogo!$H6&lt;&gt;"N"),"●","")</f>
        <v/>
      </c>
      <c r="K6" s="17">
        <f>IF(AND(ISNUMBER(SEARCH(","&amp;K$1&amp;",",","&amp;SUBSTITUTE(Catalogo!$F6," ","")&amp;",")),Catalogo!$H6&lt;&gt;"N"),"●","")</f>
        <v/>
      </c>
      <c r="L6" s="17">
        <f>IF(AND(ISNUMBER(SEARCH(","&amp;L$1&amp;",",","&amp;SUBSTITUTE(Catalogo!$F6," ","")&amp;",")),Catalogo!$H6&lt;&gt;"N"),"●","")</f>
        <v/>
      </c>
      <c r="M6" s="17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7">
        <f>IF(Catalogo!H7="","(vazio)",Catalogo!H7)</f>
        <v/>
      </c>
      <c r="D7" s="17">
        <f>IF(AND(ISNUMBER(SEARCH(","&amp;D$1&amp;",",","&amp;SUBSTITUTE(Catalogo!$F7," ","")&amp;",")),Catalogo!$H7&lt;&gt;"N"),"●","")</f>
        <v/>
      </c>
      <c r="E7" s="17">
        <f>IF(AND(ISNUMBER(SEARCH(","&amp;E$1&amp;",",","&amp;SUBSTITUTE(Catalogo!$F7," ","")&amp;",")),Catalogo!$H7&lt;&gt;"N"),"●","")</f>
        <v/>
      </c>
      <c r="F7" s="17">
        <f>IF(AND(ISNUMBER(SEARCH(","&amp;F$1&amp;",",","&amp;SUBSTITUTE(Catalogo!$F7," ","")&amp;",")),Catalogo!$H7&lt;&gt;"N"),"●","")</f>
        <v/>
      </c>
      <c r="G7" s="17">
        <f>IF(AND(ISNUMBER(SEARCH(","&amp;G$1&amp;",",","&amp;SUBSTITUTE(Catalogo!$F7," ","")&amp;",")),Catalogo!$H7&lt;&gt;"N"),"●","")</f>
        <v/>
      </c>
      <c r="H7" s="17">
        <f>IF(AND(ISNUMBER(SEARCH(","&amp;H$1&amp;",",","&amp;SUBSTITUTE(Catalogo!$F7," ","")&amp;",")),Catalogo!$H7&lt;&gt;"N"),"●","")</f>
        <v/>
      </c>
      <c r="I7" s="17">
        <f>IF(AND(ISNUMBER(SEARCH(","&amp;I$1&amp;",",","&amp;SUBSTITUTE(Catalogo!$F7," ","")&amp;",")),Catalogo!$H7&lt;&gt;"N"),"●","")</f>
        <v/>
      </c>
      <c r="J7" s="17">
        <f>IF(AND(ISNUMBER(SEARCH(","&amp;J$1&amp;",",","&amp;SUBSTITUTE(Catalogo!$F7," ","")&amp;",")),Catalogo!$H7&lt;&gt;"N"),"●","")</f>
        <v/>
      </c>
      <c r="K7" s="17">
        <f>IF(AND(ISNUMBER(SEARCH(","&amp;K$1&amp;",",","&amp;SUBSTITUTE(Catalogo!$F7," ","")&amp;",")),Catalogo!$H7&lt;&gt;"N"),"●","")</f>
        <v/>
      </c>
      <c r="L7" s="17">
        <f>IF(AND(ISNUMBER(SEARCH(","&amp;L$1&amp;",",","&amp;SUBSTITUTE(Catalogo!$F7," ","")&amp;",")),Catalogo!$H7&lt;&gt;"N"),"●","")</f>
        <v/>
      </c>
      <c r="M7" s="17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7">
        <f>IF(Catalogo!H8="","(vazio)",Catalogo!H8)</f>
        <v/>
      </c>
      <c r="D8" s="17">
        <f>IF(AND(ISNUMBER(SEARCH(","&amp;D$1&amp;",",","&amp;SUBSTITUTE(Catalogo!$F8," ","")&amp;",")),Catalogo!$H8&lt;&gt;"N"),"●","")</f>
        <v/>
      </c>
      <c r="E8" s="17">
        <f>IF(AND(ISNUMBER(SEARCH(","&amp;E$1&amp;",",","&amp;SUBSTITUTE(Catalogo!$F8," ","")&amp;",")),Catalogo!$H8&lt;&gt;"N"),"●","")</f>
        <v/>
      </c>
      <c r="F8" s="17">
        <f>IF(AND(ISNUMBER(SEARCH(","&amp;F$1&amp;",",","&amp;SUBSTITUTE(Catalogo!$F8," ","")&amp;",")),Catalogo!$H8&lt;&gt;"N"),"●","")</f>
        <v/>
      </c>
      <c r="G8" s="17">
        <f>IF(AND(ISNUMBER(SEARCH(","&amp;G$1&amp;",",","&amp;SUBSTITUTE(Catalogo!$F8," ","")&amp;",")),Catalogo!$H8&lt;&gt;"N"),"●","")</f>
        <v/>
      </c>
      <c r="H8" s="17">
        <f>IF(AND(ISNUMBER(SEARCH(","&amp;H$1&amp;",",","&amp;SUBSTITUTE(Catalogo!$F8," ","")&amp;",")),Catalogo!$H8&lt;&gt;"N"),"●","")</f>
        <v/>
      </c>
      <c r="I8" s="17">
        <f>IF(AND(ISNUMBER(SEARCH(","&amp;I$1&amp;",",","&amp;SUBSTITUTE(Catalogo!$F8," ","")&amp;",")),Catalogo!$H8&lt;&gt;"N"),"●","")</f>
        <v/>
      </c>
      <c r="J8" s="17">
        <f>IF(AND(ISNUMBER(SEARCH(","&amp;J$1&amp;",",","&amp;SUBSTITUTE(Catalogo!$F8," ","")&amp;",")),Catalogo!$H8&lt;&gt;"N"),"●","")</f>
        <v/>
      </c>
      <c r="K8" s="17">
        <f>IF(AND(ISNUMBER(SEARCH(","&amp;K$1&amp;",",","&amp;SUBSTITUTE(Catalogo!$F8," ","")&amp;",")),Catalogo!$H8&lt;&gt;"N"),"●","")</f>
        <v/>
      </c>
      <c r="L8" s="17">
        <f>IF(AND(ISNUMBER(SEARCH(","&amp;L$1&amp;",",","&amp;SUBSTITUTE(Catalogo!$F8," ","")&amp;",")),Catalogo!$H8&lt;&gt;"N"),"●","")</f>
        <v/>
      </c>
      <c r="M8" s="17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7">
        <f>IF(Catalogo!H9="","(vazio)",Catalogo!H9)</f>
        <v/>
      </c>
      <c r="D9" s="17">
        <f>IF(AND(ISNUMBER(SEARCH(","&amp;D$1&amp;",",","&amp;SUBSTITUTE(Catalogo!$F9," ","")&amp;",")),Catalogo!$H9&lt;&gt;"N"),"●","")</f>
        <v/>
      </c>
      <c r="E9" s="17">
        <f>IF(AND(ISNUMBER(SEARCH(","&amp;E$1&amp;",",","&amp;SUBSTITUTE(Catalogo!$F9," ","")&amp;",")),Catalogo!$H9&lt;&gt;"N"),"●","")</f>
        <v/>
      </c>
      <c r="F9" s="17">
        <f>IF(AND(ISNUMBER(SEARCH(","&amp;F$1&amp;",",","&amp;SUBSTITUTE(Catalogo!$F9," ","")&amp;",")),Catalogo!$H9&lt;&gt;"N"),"●","")</f>
        <v/>
      </c>
      <c r="G9" s="17">
        <f>IF(AND(ISNUMBER(SEARCH(","&amp;G$1&amp;",",","&amp;SUBSTITUTE(Catalogo!$F9," ","")&amp;",")),Catalogo!$H9&lt;&gt;"N"),"●","")</f>
        <v/>
      </c>
      <c r="H9" s="17">
        <f>IF(AND(ISNUMBER(SEARCH(","&amp;H$1&amp;",",","&amp;SUBSTITUTE(Catalogo!$F9," ","")&amp;",")),Catalogo!$H9&lt;&gt;"N"),"●","")</f>
        <v/>
      </c>
      <c r="I9" s="17">
        <f>IF(AND(ISNUMBER(SEARCH(","&amp;I$1&amp;",",","&amp;SUBSTITUTE(Catalogo!$F9," ","")&amp;",")),Catalogo!$H9&lt;&gt;"N"),"●","")</f>
        <v/>
      </c>
      <c r="J9" s="17">
        <f>IF(AND(ISNUMBER(SEARCH(","&amp;J$1&amp;",",","&amp;SUBSTITUTE(Catalogo!$F9," ","")&amp;",")),Catalogo!$H9&lt;&gt;"N"),"●","")</f>
        <v/>
      </c>
      <c r="K9" s="17">
        <f>IF(AND(ISNUMBER(SEARCH(","&amp;K$1&amp;",",","&amp;SUBSTITUTE(Catalogo!$F9," ","")&amp;",")),Catalogo!$H9&lt;&gt;"N"),"●","")</f>
        <v/>
      </c>
      <c r="L9" s="17">
        <f>IF(AND(ISNUMBER(SEARCH(","&amp;L$1&amp;",",","&amp;SUBSTITUTE(Catalogo!$F9," ","")&amp;",")),Catalogo!$H9&lt;&gt;"N"),"●","")</f>
        <v/>
      </c>
      <c r="M9" s="17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7">
        <f>IF(Catalogo!H10="","(vazio)",Catalogo!H10)</f>
        <v/>
      </c>
      <c r="D10" s="17">
        <f>IF(AND(ISNUMBER(SEARCH(","&amp;D$1&amp;",",","&amp;SUBSTITUTE(Catalogo!$F10," ","")&amp;",")),Catalogo!$H10&lt;&gt;"N"),"●","")</f>
        <v/>
      </c>
      <c r="E10" s="17">
        <f>IF(AND(ISNUMBER(SEARCH(","&amp;E$1&amp;",",","&amp;SUBSTITUTE(Catalogo!$F10," ","")&amp;",")),Catalogo!$H10&lt;&gt;"N"),"●","")</f>
        <v/>
      </c>
      <c r="F10" s="17">
        <f>IF(AND(ISNUMBER(SEARCH(","&amp;F$1&amp;",",","&amp;SUBSTITUTE(Catalogo!$F10," ","")&amp;",")),Catalogo!$H10&lt;&gt;"N"),"●","")</f>
        <v/>
      </c>
      <c r="G10" s="17">
        <f>IF(AND(ISNUMBER(SEARCH(","&amp;G$1&amp;",",","&amp;SUBSTITUTE(Catalogo!$F10," ","")&amp;",")),Catalogo!$H10&lt;&gt;"N"),"●","")</f>
        <v/>
      </c>
      <c r="H10" s="17">
        <f>IF(AND(ISNUMBER(SEARCH(","&amp;H$1&amp;",",","&amp;SUBSTITUTE(Catalogo!$F10," ","")&amp;",")),Catalogo!$H10&lt;&gt;"N"),"●","")</f>
        <v/>
      </c>
      <c r="I10" s="17">
        <f>IF(AND(ISNUMBER(SEARCH(","&amp;I$1&amp;",",","&amp;SUBSTITUTE(Catalogo!$F10," ","")&amp;",")),Catalogo!$H10&lt;&gt;"N"),"●","")</f>
        <v/>
      </c>
      <c r="J10" s="17">
        <f>IF(AND(ISNUMBER(SEARCH(","&amp;J$1&amp;",",","&amp;SUBSTITUTE(Catalogo!$F10," ","")&amp;",")),Catalogo!$H10&lt;&gt;"N"),"●","")</f>
        <v/>
      </c>
      <c r="K10" s="17">
        <f>IF(AND(ISNUMBER(SEARCH(","&amp;K$1&amp;",",","&amp;SUBSTITUTE(Catalogo!$F10," ","")&amp;",")),Catalogo!$H10&lt;&gt;"N"),"●","")</f>
        <v/>
      </c>
      <c r="L10" s="17">
        <f>IF(AND(ISNUMBER(SEARCH(","&amp;L$1&amp;",",","&amp;SUBSTITUTE(Catalogo!$F10," ","")&amp;",")),Catalogo!$H10&lt;&gt;"N"),"●","")</f>
        <v/>
      </c>
      <c r="M10" s="17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7">
        <f>IF(Catalogo!H11="","(vazio)",Catalogo!H11)</f>
        <v/>
      </c>
      <c r="D11" s="17">
        <f>IF(AND(ISNUMBER(SEARCH(","&amp;D$1&amp;",",","&amp;SUBSTITUTE(Catalogo!$F11," ","")&amp;",")),Catalogo!$H11&lt;&gt;"N"),"●","")</f>
        <v/>
      </c>
      <c r="E11" s="17">
        <f>IF(AND(ISNUMBER(SEARCH(","&amp;E$1&amp;",",","&amp;SUBSTITUTE(Catalogo!$F11," ","")&amp;",")),Catalogo!$H11&lt;&gt;"N"),"●","")</f>
        <v/>
      </c>
      <c r="F11" s="17">
        <f>IF(AND(ISNUMBER(SEARCH(","&amp;F$1&amp;",",","&amp;SUBSTITUTE(Catalogo!$F11," ","")&amp;",")),Catalogo!$H11&lt;&gt;"N"),"●","")</f>
        <v/>
      </c>
      <c r="G11" s="17">
        <f>IF(AND(ISNUMBER(SEARCH(","&amp;G$1&amp;",",","&amp;SUBSTITUTE(Catalogo!$F11," ","")&amp;",")),Catalogo!$H11&lt;&gt;"N"),"●","")</f>
        <v/>
      </c>
      <c r="H11" s="17">
        <f>IF(AND(ISNUMBER(SEARCH(","&amp;H$1&amp;",",","&amp;SUBSTITUTE(Catalogo!$F11," ","")&amp;",")),Catalogo!$H11&lt;&gt;"N"),"●","")</f>
        <v/>
      </c>
      <c r="I11" s="17">
        <f>IF(AND(ISNUMBER(SEARCH(","&amp;I$1&amp;",",","&amp;SUBSTITUTE(Catalogo!$F11," ","")&amp;",")),Catalogo!$H11&lt;&gt;"N"),"●","")</f>
        <v/>
      </c>
      <c r="J11" s="17">
        <f>IF(AND(ISNUMBER(SEARCH(","&amp;J$1&amp;",",","&amp;SUBSTITUTE(Catalogo!$F11," ","")&amp;",")),Catalogo!$H11&lt;&gt;"N"),"●","")</f>
        <v/>
      </c>
      <c r="K11" s="17">
        <f>IF(AND(ISNUMBER(SEARCH(","&amp;K$1&amp;",",","&amp;SUBSTITUTE(Catalogo!$F11," ","")&amp;",")),Catalogo!$H11&lt;&gt;"N"),"●","")</f>
        <v/>
      </c>
      <c r="L11" s="17">
        <f>IF(AND(ISNUMBER(SEARCH(","&amp;L$1&amp;",",","&amp;SUBSTITUTE(Catalogo!$F11," ","")&amp;",")),Catalogo!$H11&lt;&gt;"N"),"●","")</f>
        <v/>
      </c>
      <c r="M11" s="17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7">
        <f>IF(Catalogo!H12="","(vazio)",Catalogo!H12)</f>
        <v/>
      </c>
      <c r="D12" s="17">
        <f>IF(AND(ISNUMBER(SEARCH(","&amp;D$1&amp;",",","&amp;SUBSTITUTE(Catalogo!$F12," ","")&amp;",")),Catalogo!$H12&lt;&gt;"N"),"●","")</f>
        <v/>
      </c>
      <c r="E12" s="17">
        <f>IF(AND(ISNUMBER(SEARCH(","&amp;E$1&amp;",",","&amp;SUBSTITUTE(Catalogo!$F12," ","")&amp;",")),Catalogo!$H12&lt;&gt;"N"),"●","")</f>
        <v/>
      </c>
      <c r="F12" s="17">
        <f>IF(AND(ISNUMBER(SEARCH(","&amp;F$1&amp;",",","&amp;SUBSTITUTE(Catalogo!$F12," ","")&amp;",")),Catalogo!$H12&lt;&gt;"N"),"●","")</f>
        <v/>
      </c>
      <c r="G12" s="17">
        <f>IF(AND(ISNUMBER(SEARCH(","&amp;G$1&amp;",",","&amp;SUBSTITUTE(Catalogo!$F12," ","")&amp;",")),Catalogo!$H12&lt;&gt;"N"),"●","")</f>
        <v/>
      </c>
      <c r="H12" s="17">
        <f>IF(AND(ISNUMBER(SEARCH(","&amp;H$1&amp;",",","&amp;SUBSTITUTE(Catalogo!$F12," ","")&amp;",")),Catalogo!$H12&lt;&gt;"N"),"●","")</f>
        <v/>
      </c>
      <c r="I12" s="17">
        <f>IF(AND(ISNUMBER(SEARCH(","&amp;I$1&amp;",",","&amp;SUBSTITUTE(Catalogo!$F12," ","")&amp;",")),Catalogo!$H12&lt;&gt;"N"),"●","")</f>
        <v/>
      </c>
      <c r="J12" s="17">
        <f>IF(AND(ISNUMBER(SEARCH(","&amp;J$1&amp;",",","&amp;SUBSTITUTE(Catalogo!$F12," ","")&amp;",")),Catalogo!$H12&lt;&gt;"N"),"●","")</f>
        <v/>
      </c>
      <c r="K12" s="17">
        <f>IF(AND(ISNUMBER(SEARCH(","&amp;K$1&amp;",",","&amp;SUBSTITUTE(Catalogo!$F12," ","")&amp;",")),Catalogo!$H12&lt;&gt;"N"),"●","")</f>
        <v/>
      </c>
      <c r="L12" s="17">
        <f>IF(AND(ISNUMBER(SEARCH(","&amp;L$1&amp;",",","&amp;SUBSTITUTE(Catalogo!$F12," ","")&amp;",")),Catalogo!$H12&lt;&gt;"N"),"●","")</f>
        <v/>
      </c>
      <c r="M12" s="17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7">
        <f>IF(Catalogo!H13="","(vazio)",Catalogo!H13)</f>
        <v/>
      </c>
      <c r="D13" s="17">
        <f>IF(AND(ISNUMBER(SEARCH(","&amp;D$1&amp;",",","&amp;SUBSTITUTE(Catalogo!$F13," ","")&amp;",")),Catalogo!$H13&lt;&gt;"N"),"●","")</f>
        <v/>
      </c>
      <c r="E13" s="17">
        <f>IF(AND(ISNUMBER(SEARCH(","&amp;E$1&amp;",",","&amp;SUBSTITUTE(Catalogo!$F13," ","")&amp;",")),Catalogo!$H13&lt;&gt;"N"),"●","")</f>
        <v/>
      </c>
      <c r="F13" s="17">
        <f>IF(AND(ISNUMBER(SEARCH(","&amp;F$1&amp;",",","&amp;SUBSTITUTE(Catalogo!$F13," ","")&amp;",")),Catalogo!$H13&lt;&gt;"N"),"●","")</f>
        <v/>
      </c>
      <c r="G13" s="17">
        <f>IF(AND(ISNUMBER(SEARCH(","&amp;G$1&amp;",",","&amp;SUBSTITUTE(Catalogo!$F13," ","")&amp;",")),Catalogo!$H13&lt;&gt;"N"),"●","")</f>
        <v/>
      </c>
      <c r="H13" s="17">
        <f>IF(AND(ISNUMBER(SEARCH(","&amp;H$1&amp;",",","&amp;SUBSTITUTE(Catalogo!$F13," ","")&amp;",")),Catalogo!$H13&lt;&gt;"N"),"●","")</f>
        <v/>
      </c>
      <c r="I13" s="17">
        <f>IF(AND(ISNUMBER(SEARCH(","&amp;I$1&amp;",",","&amp;SUBSTITUTE(Catalogo!$F13," ","")&amp;",")),Catalogo!$H13&lt;&gt;"N"),"●","")</f>
        <v/>
      </c>
      <c r="J13" s="17">
        <f>IF(AND(ISNUMBER(SEARCH(","&amp;J$1&amp;",",","&amp;SUBSTITUTE(Catalogo!$F13," ","")&amp;",")),Catalogo!$H13&lt;&gt;"N"),"●","")</f>
        <v/>
      </c>
      <c r="K13" s="17">
        <f>IF(AND(ISNUMBER(SEARCH(","&amp;K$1&amp;",",","&amp;SUBSTITUTE(Catalogo!$F13," ","")&amp;",")),Catalogo!$H13&lt;&gt;"N"),"●","")</f>
        <v/>
      </c>
      <c r="L13" s="17">
        <f>IF(AND(ISNUMBER(SEARCH(","&amp;L$1&amp;",",","&amp;SUBSTITUTE(Catalogo!$F13," ","")&amp;",")),Catalogo!$H13&lt;&gt;"N"),"●","")</f>
        <v/>
      </c>
      <c r="M13" s="17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7">
        <f>IF(Catalogo!H14="","(vazio)",Catalogo!H14)</f>
        <v/>
      </c>
      <c r="D14" s="17">
        <f>IF(AND(ISNUMBER(SEARCH(","&amp;D$1&amp;",",","&amp;SUBSTITUTE(Catalogo!$F14," ","")&amp;",")),Catalogo!$H14&lt;&gt;"N"),"●","")</f>
        <v/>
      </c>
      <c r="E14" s="17">
        <f>IF(AND(ISNUMBER(SEARCH(","&amp;E$1&amp;",",","&amp;SUBSTITUTE(Catalogo!$F14," ","")&amp;",")),Catalogo!$H14&lt;&gt;"N"),"●","")</f>
        <v/>
      </c>
      <c r="F14" s="17">
        <f>IF(AND(ISNUMBER(SEARCH(","&amp;F$1&amp;",",","&amp;SUBSTITUTE(Catalogo!$F14," ","")&amp;",")),Catalogo!$H14&lt;&gt;"N"),"●","")</f>
        <v/>
      </c>
      <c r="G14" s="17">
        <f>IF(AND(ISNUMBER(SEARCH(","&amp;G$1&amp;",",","&amp;SUBSTITUTE(Catalogo!$F14," ","")&amp;",")),Catalogo!$H14&lt;&gt;"N"),"●","")</f>
        <v/>
      </c>
      <c r="H14" s="17">
        <f>IF(AND(ISNUMBER(SEARCH(","&amp;H$1&amp;",",","&amp;SUBSTITUTE(Catalogo!$F14," ","")&amp;",")),Catalogo!$H14&lt;&gt;"N"),"●","")</f>
        <v/>
      </c>
      <c r="I14" s="17">
        <f>IF(AND(ISNUMBER(SEARCH(","&amp;I$1&amp;",",","&amp;SUBSTITUTE(Catalogo!$F14," ","")&amp;",")),Catalogo!$H14&lt;&gt;"N"),"●","")</f>
        <v/>
      </c>
      <c r="J14" s="17">
        <f>IF(AND(ISNUMBER(SEARCH(","&amp;J$1&amp;",",","&amp;SUBSTITUTE(Catalogo!$F14," ","")&amp;",")),Catalogo!$H14&lt;&gt;"N"),"●","")</f>
        <v/>
      </c>
      <c r="K14" s="17">
        <f>IF(AND(ISNUMBER(SEARCH(","&amp;K$1&amp;",",","&amp;SUBSTITUTE(Catalogo!$F14," ","")&amp;",")),Catalogo!$H14&lt;&gt;"N"),"●","")</f>
        <v/>
      </c>
      <c r="L14" s="17">
        <f>IF(AND(ISNUMBER(SEARCH(","&amp;L$1&amp;",",","&amp;SUBSTITUTE(Catalogo!$F14," ","")&amp;",")),Catalogo!$H14&lt;&gt;"N"),"●","")</f>
        <v/>
      </c>
      <c r="M14" s="17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7">
        <f>IF(Catalogo!H15="","(vazio)",Catalogo!H15)</f>
        <v/>
      </c>
      <c r="D15" s="17">
        <f>IF(AND(ISNUMBER(SEARCH(","&amp;D$1&amp;",",","&amp;SUBSTITUTE(Catalogo!$F15," ","")&amp;",")),Catalogo!$H15&lt;&gt;"N"),"●","")</f>
        <v/>
      </c>
      <c r="E15" s="17">
        <f>IF(AND(ISNUMBER(SEARCH(","&amp;E$1&amp;",",","&amp;SUBSTITUTE(Catalogo!$F15," ","")&amp;",")),Catalogo!$H15&lt;&gt;"N"),"●","")</f>
        <v/>
      </c>
      <c r="F15" s="17">
        <f>IF(AND(ISNUMBER(SEARCH(","&amp;F$1&amp;",",","&amp;SUBSTITUTE(Catalogo!$F15," ","")&amp;",")),Catalogo!$H15&lt;&gt;"N"),"●","")</f>
        <v/>
      </c>
      <c r="G15" s="17">
        <f>IF(AND(ISNUMBER(SEARCH(","&amp;G$1&amp;",",","&amp;SUBSTITUTE(Catalogo!$F15," ","")&amp;",")),Catalogo!$H15&lt;&gt;"N"),"●","")</f>
        <v/>
      </c>
      <c r="H15" s="17">
        <f>IF(AND(ISNUMBER(SEARCH(","&amp;H$1&amp;",",","&amp;SUBSTITUTE(Catalogo!$F15," ","")&amp;",")),Catalogo!$H15&lt;&gt;"N"),"●","")</f>
        <v/>
      </c>
      <c r="I15" s="17">
        <f>IF(AND(ISNUMBER(SEARCH(","&amp;I$1&amp;",",","&amp;SUBSTITUTE(Catalogo!$F15," ","")&amp;",")),Catalogo!$H15&lt;&gt;"N"),"●","")</f>
        <v/>
      </c>
      <c r="J15" s="17">
        <f>IF(AND(ISNUMBER(SEARCH(","&amp;J$1&amp;",",","&amp;SUBSTITUTE(Catalogo!$F15," ","")&amp;",")),Catalogo!$H15&lt;&gt;"N"),"●","")</f>
        <v/>
      </c>
      <c r="K15" s="17">
        <f>IF(AND(ISNUMBER(SEARCH(","&amp;K$1&amp;",",","&amp;SUBSTITUTE(Catalogo!$F15," ","")&amp;",")),Catalogo!$H15&lt;&gt;"N"),"●","")</f>
        <v/>
      </c>
      <c r="L15" s="17">
        <f>IF(AND(ISNUMBER(SEARCH(","&amp;L$1&amp;",",","&amp;SUBSTITUTE(Catalogo!$F15," ","")&amp;",")),Catalogo!$H15&lt;&gt;"N"),"●","")</f>
        <v/>
      </c>
      <c r="M15" s="17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7">
        <f>IF(Catalogo!H16="","(vazio)",Catalogo!H16)</f>
        <v/>
      </c>
      <c r="D16" s="17">
        <f>IF(AND(ISNUMBER(SEARCH(","&amp;D$1&amp;",",","&amp;SUBSTITUTE(Catalogo!$F16," ","")&amp;",")),Catalogo!$H16&lt;&gt;"N"),"●","")</f>
        <v/>
      </c>
      <c r="E16" s="17">
        <f>IF(AND(ISNUMBER(SEARCH(","&amp;E$1&amp;",",","&amp;SUBSTITUTE(Catalogo!$F16," ","")&amp;",")),Catalogo!$H16&lt;&gt;"N"),"●","")</f>
        <v/>
      </c>
      <c r="F16" s="17">
        <f>IF(AND(ISNUMBER(SEARCH(","&amp;F$1&amp;",",","&amp;SUBSTITUTE(Catalogo!$F16," ","")&amp;",")),Catalogo!$H16&lt;&gt;"N"),"●","")</f>
        <v/>
      </c>
      <c r="G16" s="17">
        <f>IF(AND(ISNUMBER(SEARCH(","&amp;G$1&amp;",",","&amp;SUBSTITUTE(Catalogo!$F16," ","")&amp;",")),Catalogo!$H16&lt;&gt;"N"),"●","")</f>
        <v/>
      </c>
      <c r="H16" s="17">
        <f>IF(AND(ISNUMBER(SEARCH(","&amp;H$1&amp;",",","&amp;SUBSTITUTE(Catalogo!$F16," ","")&amp;",")),Catalogo!$H16&lt;&gt;"N"),"●","")</f>
        <v/>
      </c>
      <c r="I16" s="17">
        <f>IF(AND(ISNUMBER(SEARCH(","&amp;I$1&amp;",",","&amp;SUBSTITUTE(Catalogo!$F16," ","")&amp;",")),Catalogo!$H16&lt;&gt;"N"),"●","")</f>
        <v/>
      </c>
      <c r="J16" s="17">
        <f>IF(AND(ISNUMBER(SEARCH(","&amp;J$1&amp;",",","&amp;SUBSTITUTE(Catalogo!$F16," ","")&amp;",")),Catalogo!$H16&lt;&gt;"N"),"●","")</f>
        <v/>
      </c>
      <c r="K16" s="17">
        <f>IF(AND(ISNUMBER(SEARCH(","&amp;K$1&amp;",",","&amp;SUBSTITUTE(Catalogo!$F16," ","")&amp;",")),Catalogo!$H16&lt;&gt;"N"),"●","")</f>
        <v/>
      </c>
      <c r="L16" s="17">
        <f>IF(AND(ISNUMBER(SEARCH(","&amp;L$1&amp;",",","&amp;SUBSTITUTE(Catalogo!$F16," ","")&amp;",")),Catalogo!$H16&lt;&gt;"N"),"●","")</f>
        <v/>
      </c>
      <c r="M16" s="17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7">
        <f>IF(Catalogo!H17="","(vazio)",Catalogo!H17)</f>
        <v/>
      </c>
      <c r="D17" s="17">
        <f>IF(AND(ISNUMBER(SEARCH(","&amp;D$1&amp;",",","&amp;SUBSTITUTE(Catalogo!$F17," ","")&amp;",")),Catalogo!$H17&lt;&gt;"N"),"●","")</f>
        <v/>
      </c>
      <c r="E17" s="17">
        <f>IF(AND(ISNUMBER(SEARCH(","&amp;E$1&amp;",",","&amp;SUBSTITUTE(Catalogo!$F17," ","")&amp;",")),Catalogo!$H17&lt;&gt;"N"),"●","")</f>
        <v/>
      </c>
      <c r="F17" s="17">
        <f>IF(AND(ISNUMBER(SEARCH(","&amp;F$1&amp;",",","&amp;SUBSTITUTE(Catalogo!$F17," ","")&amp;",")),Catalogo!$H17&lt;&gt;"N"),"●","")</f>
        <v/>
      </c>
      <c r="G17" s="17">
        <f>IF(AND(ISNUMBER(SEARCH(","&amp;G$1&amp;",",","&amp;SUBSTITUTE(Catalogo!$F17," ","")&amp;",")),Catalogo!$H17&lt;&gt;"N"),"●","")</f>
        <v/>
      </c>
      <c r="H17" s="17">
        <f>IF(AND(ISNUMBER(SEARCH(","&amp;H$1&amp;",",","&amp;SUBSTITUTE(Catalogo!$F17," ","")&amp;",")),Catalogo!$H17&lt;&gt;"N"),"●","")</f>
        <v/>
      </c>
      <c r="I17" s="17">
        <f>IF(AND(ISNUMBER(SEARCH(","&amp;I$1&amp;",",","&amp;SUBSTITUTE(Catalogo!$F17," ","")&amp;",")),Catalogo!$H17&lt;&gt;"N"),"●","")</f>
        <v/>
      </c>
      <c r="J17" s="17">
        <f>IF(AND(ISNUMBER(SEARCH(","&amp;J$1&amp;",",","&amp;SUBSTITUTE(Catalogo!$F17," ","")&amp;",")),Catalogo!$H17&lt;&gt;"N"),"●","")</f>
        <v/>
      </c>
      <c r="K17" s="17">
        <f>IF(AND(ISNUMBER(SEARCH(","&amp;K$1&amp;",",","&amp;SUBSTITUTE(Catalogo!$F17," ","")&amp;",")),Catalogo!$H17&lt;&gt;"N"),"●","")</f>
        <v/>
      </c>
      <c r="L17" s="17">
        <f>IF(AND(ISNUMBER(SEARCH(","&amp;L$1&amp;",",","&amp;SUBSTITUTE(Catalogo!$F17," ","")&amp;",")),Catalogo!$H17&lt;&gt;"N"),"●","")</f>
        <v/>
      </c>
      <c r="M17" s="17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7">
        <f>IF(Catalogo!H18="","(vazio)",Catalogo!H18)</f>
        <v/>
      </c>
      <c r="D18" s="17">
        <f>IF(AND(ISNUMBER(SEARCH(","&amp;D$1&amp;",",","&amp;SUBSTITUTE(Catalogo!$F18," ","")&amp;",")),Catalogo!$H18&lt;&gt;"N"),"●","")</f>
        <v/>
      </c>
      <c r="E18" s="17">
        <f>IF(AND(ISNUMBER(SEARCH(","&amp;E$1&amp;",",","&amp;SUBSTITUTE(Catalogo!$F18," ","")&amp;",")),Catalogo!$H18&lt;&gt;"N"),"●","")</f>
        <v/>
      </c>
      <c r="F18" s="17">
        <f>IF(AND(ISNUMBER(SEARCH(","&amp;F$1&amp;",",","&amp;SUBSTITUTE(Catalogo!$F18," ","")&amp;",")),Catalogo!$H18&lt;&gt;"N"),"●","")</f>
        <v/>
      </c>
      <c r="G18" s="17">
        <f>IF(AND(ISNUMBER(SEARCH(","&amp;G$1&amp;",",","&amp;SUBSTITUTE(Catalogo!$F18," ","")&amp;",")),Catalogo!$H18&lt;&gt;"N"),"●","")</f>
        <v/>
      </c>
      <c r="H18" s="17">
        <f>IF(AND(ISNUMBER(SEARCH(","&amp;H$1&amp;",",","&amp;SUBSTITUTE(Catalogo!$F18," ","")&amp;",")),Catalogo!$H18&lt;&gt;"N"),"●","")</f>
        <v/>
      </c>
      <c r="I18" s="17">
        <f>IF(AND(ISNUMBER(SEARCH(","&amp;I$1&amp;",",","&amp;SUBSTITUTE(Catalogo!$F18," ","")&amp;",")),Catalogo!$H18&lt;&gt;"N"),"●","")</f>
        <v/>
      </c>
      <c r="J18" s="17">
        <f>IF(AND(ISNUMBER(SEARCH(","&amp;J$1&amp;",",","&amp;SUBSTITUTE(Catalogo!$F18," ","")&amp;",")),Catalogo!$H18&lt;&gt;"N"),"●","")</f>
        <v/>
      </c>
      <c r="K18" s="17">
        <f>IF(AND(ISNUMBER(SEARCH(","&amp;K$1&amp;",",","&amp;SUBSTITUTE(Catalogo!$F18," ","")&amp;",")),Catalogo!$H18&lt;&gt;"N"),"●","")</f>
        <v/>
      </c>
      <c r="L18" s="17">
        <f>IF(AND(ISNUMBER(SEARCH(","&amp;L$1&amp;",",","&amp;SUBSTITUTE(Catalogo!$F18," ","")&amp;",")),Catalogo!$H18&lt;&gt;"N"),"●","")</f>
        <v/>
      </c>
      <c r="M18" s="17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7">
        <f>IF(Catalogo!H19="","(vazio)",Catalogo!H19)</f>
        <v/>
      </c>
      <c r="D19" s="17">
        <f>IF(AND(ISNUMBER(SEARCH(","&amp;D$1&amp;",",","&amp;SUBSTITUTE(Catalogo!$F19," ","")&amp;",")),Catalogo!$H19&lt;&gt;"N"),"●","")</f>
        <v/>
      </c>
      <c r="E19" s="17">
        <f>IF(AND(ISNUMBER(SEARCH(","&amp;E$1&amp;",",","&amp;SUBSTITUTE(Catalogo!$F19," ","")&amp;",")),Catalogo!$H19&lt;&gt;"N"),"●","")</f>
        <v/>
      </c>
      <c r="F19" s="17">
        <f>IF(AND(ISNUMBER(SEARCH(","&amp;F$1&amp;",",","&amp;SUBSTITUTE(Catalogo!$F19," ","")&amp;",")),Catalogo!$H19&lt;&gt;"N"),"●","")</f>
        <v/>
      </c>
      <c r="G19" s="17">
        <f>IF(AND(ISNUMBER(SEARCH(","&amp;G$1&amp;",",","&amp;SUBSTITUTE(Catalogo!$F19," ","")&amp;",")),Catalogo!$H19&lt;&gt;"N"),"●","")</f>
        <v/>
      </c>
      <c r="H19" s="17">
        <f>IF(AND(ISNUMBER(SEARCH(","&amp;H$1&amp;",",","&amp;SUBSTITUTE(Catalogo!$F19," ","")&amp;",")),Catalogo!$H19&lt;&gt;"N"),"●","")</f>
        <v/>
      </c>
      <c r="I19" s="17">
        <f>IF(AND(ISNUMBER(SEARCH(","&amp;I$1&amp;",",","&amp;SUBSTITUTE(Catalogo!$F19," ","")&amp;",")),Catalogo!$H19&lt;&gt;"N"),"●","")</f>
        <v/>
      </c>
      <c r="J19" s="17">
        <f>IF(AND(ISNUMBER(SEARCH(","&amp;J$1&amp;",",","&amp;SUBSTITUTE(Catalogo!$F19," ","")&amp;",")),Catalogo!$H19&lt;&gt;"N"),"●","")</f>
        <v/>
      </c>
      <c r="K19" s="17">
        <f>IF(AND(ISNUMBER(SEARCH(","&amp;K$1&amp;",",","&amp;SUBSTITUTE(Catalogo!$F19," ","")&amp;",")),Catalogo!$H19&lt;&gt;"N"),"●","")</f>
        <v/>
      </c>
      <c r="L19" s="17">
        <f>IF(AND(ISNUMBER(SEARCH(","&amp;L$1&amp;",",","&amp;SUBSTITUTE(Catalogo!$F19," ","")&amp;",")),Catalogo!$H19&lt;&gt;"N"),"●","")</f>
        <v/>
      </c>
      <c r="M19" s="17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7">
        <f>IF(Catalogo!H20="","(vazio)",Catalogo!H20)</f>
        <v/>
      </c>
      <c r="D20" s="17">
        <f>IF(AND(ISNUMBER(SEARCH(","&amp;D$1&amp;",",","&amp;SUBSTITUTE(Catalogo!$F20," ","")&amp;",")),Catalogo!$H20&lt;&gt;"N"),"●","")</f>
        <v/>
      </c>
      <c r="E20" s="17">
        <f>IF(AND(ISNUMBER(SEARCH(","&amp;E$1&amp;",",","&amp;SUBSTITUTE(Catalogo!$F20," ","")&amp;",")),Catalogo!$H20&lt;&gt;"N"),"●","")</f>
        <v/>
      </c>
      <c r="F20" s="17">
        <f>IF(AND(ISNUMBER(SEARCH(","&amp;F$1&amp;",",","&amp;SUBSTITUTE(Catalogo!$F20," ","")&amp;",")),Catalogo!$H20&lt;&gt;"N"),"●","")</f>
        <v/>
      </c>
      <c r="G20" s="17">
        <f>IF(AND(ISNUMBER(SEARCH(","&amp;G$1&amp;",",","&amp;SUBSTITUTE(Catalogo!$F20," ","")&amp;",")),Catalogo!$H20&lt;&gt;"N"),"●","")</f>
        <v/>
      </c>
      <c r="H20" s="17">
        <f>IF(AND(ISNUMBER(SEARCH(","&amp;H$1&amp;",",","&amp;SUBSTITUTE(Catalogo!$F20," ","")&amp;",")),Catalogo!$H20&lt;&gt;"N"),"●","")</f>
        <v/>
      </c>
      <c r="I20" s="17">
        <f>IF(AND(ISNUMBER(SEARCH(","&amp;I$1&amp;",",","&amp;SUBSTITUTE(Catalogo!$F20," ","")&amp;",")),Catalogo!$H20&lt;&gt;"N"),"●","")</f>
        <v/>
      </c>
      <c r="J20" s="17">
        <f>IF(AND(ISNUMBER(SEARCH(","&amp;J$1&amp;",",","&amp;SUBSTITUTE(Catalogo!$F20," ","")&amp;",")),Catalogo!$H20&lt;&gt;"N"),"●","")</f>
        <v/>
      </c>
      <c r="K20" s="17">
        <f>IF(AND(ISNUMBER(SEARCH(","&amp;K$1&amp;",",","&amp;SUBSTITUTE(Catalogo!$F20," ","")&amp;",")),Catalogo!$H20&lt;&gt;"N"),"●","")</f>
        <v/>
      </c>
      <c r="L20" s="17">
        <f>IF(AND(ISNUMBER(SEARCH(","&amp;L$1&amp;",",","&amp;SUBSTITUTE(Catalogo!$F20," ","")&amp;",")),Catalogo!$H20&lt;&gt;"N"),"●","")</f>
        <v/>
      </c>
      <c r="M20" s="17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7">
        <f>IF(Catalogo!H21="","(vazio)",Catalogo!H21)</f>
        <v/>
      </c>
      <c r="D21" s="17">
        <f>IF(AND(ISNUMBER(SEARCH(","&amp;D$1&amp;",",","&amp;SUBSTITUTE(Catalogo!$F21," ","")&amp;",")),Catalogo!$H21&lt;&gt;"N"),"●","")</f>
        <v/>
      </c>
      <c r="E21" s="17">
        <f>IF(AND(ISNUMBER(SEARCH(","&amp;E$1&amp;",",","&amp;SUBSTITUTE(Catalogo!$F21," ","")&amp;",")),Catalogo!$H21&lt;&gt;"N"),"●","")</f>
        <v/>
      </c>
      <c r="F21" s="17">
        <f>IF(AND(ISNUMBER(SEARCH(","&amp;F$1&amp;",",","&amp;SUBSTITUTE(Catalogo!$F21," ","")&amp;",")),Catalogo!$H21&lt;&gt;"N"),"●","")</f>
        <v/>
      </c>
      <c r="G21" s="17">
        <f>IF(AND(ISNUMBER(SEARCH(","&amp;G$1&amp;",",","&amp;SUBSTITUTE(Catalogo!$F21," ","")&amp;",")),Catalogo!$H21&lt;&gt;"N"),"●","")</f>
        <v/>
      </c>
      <c r="H21" s="17">
        <f>IF(AND(ISNUMBER(SEARCH(","&amp;H$1&amp;",",","&amp;SUBSTITUTE(Catalogo!$F21," ","")&amp;",")),Catalogo!$H21&lt;&gt;"N"),"●","")</f>
        <v/>
      </c>
      <c r="I21" s="17">
        <f>IF(AND(ISNUMBER(SEARCH(","&amp;I$1&amp;",",","&amp;SUBSTITUTE(Catalogo!$F21," ","")&amp;",")),Catalogo!$H21&lt;&gt;"N"),"●","")</f>
        <v/>
      </c>
      <c r="J21" s="17">
        <f>IF(AND(ISNUMBER(SEARCH(","&amp;J$1&amp;",",","&amp;SUBSTITUTE(Catalogo!$F21," ","")&amp;",")),Catalogo!$H21&lt;&gt;"N"),"●","")</f>
        <v/>
      </c>
      <c r="K21" s="17">
        <f>IF(AND(ISNUMBER(SEARCH(","&amp;K$1&amp;",",","&amp;SUBSTITUTE(Catalogo!$F21," ","")&amp;",")),Catalogo!$H21&lt;&gt;"N"),"●","")</f>
        <v/>
      </c>
      <c r="L21" s="17">
        <f>IF(AND(ISNUMBER(SEARCH(","&amp;L$1&amp;",",","&amp;SUBSTITUTE(Catalogo!$F21," ","")&amp;",")),Catalogo!$H21&lt;&gt;"N"),"●","")</f>
        <v/>
      </c>
      <c r="M21" s="17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7">
        <f>IF(Catalogo!H22="","(vazio)",Catalogo!H22)</f>
        <v/>
      </c>
      <c r="D22" s="17">
        <f>IF(AND(ISNUMBER(SEARCH(","&amp;D$1&amp;",",","&amp;SUBSTITUTE(Catalogo!$F22," ","")&amp;",")),Catalogo!$H22&lt;&gt;"N"),"●","")</f>
        <v/>
      </c>
      <c r="E22" s="17">
        <f>IF(AND(ISNUMBER(SEARCH(","&amp;E$1&amp;",",","&amp;SUBSTITUTE(Catalogo!$F22," ","")&amp;",")),Catalogo!$H22&lt;&gt;"N"),"●","")</f>
        <v/>
      </c>
      <c r="F22" s="17">
        <f>IF(AND(ISNUMBER(SEARCH(","&amp;F$1&amp;",",","&amp;SUBSTITUTE(Catalogo!$F22," ","")&amp;",")),Catalogo!$H22&lt;&gt;"N"),"●","")</f>
        <v/>
      </c>
      <c r="G22" s="17">
        <f>IF(AND(ISNUMBER(SEARCH(","&amp;G$1&amp;",",","&amp;SUBSTITUTE(Catalogo!$F22," ","")&amp;",")),Catalogo!$H22&lt;&gt;"N"),"●","")</f>
        <v/>
      </c>
      <c r="H22" s="17">
        <f>IF(AND(ISNUMBER(SEARCH(","&amp;H$1&amp;",",","&amp;SUBSTITUTE(Catalogo!$F22," ","")&amp;",")),Catalogo!$H22&lt;&gt;"N"),"●","")</f>
        <v/>
      </c>
      <c r="I22" s="17">
        <f>IF(AND(ISNUMBER(SEARCH(","&amp;I$1&amp;",",","&amp;SUBSTITUTE(Catalogo!$F22," ","")&amp;",")),Catalogo!$H22&lt;&gt;"N"),"●","")</f>
        <v/>
      </c>
      <c r="J22" s="17">
        <f>IF(AND(ISNUMBER(SEARCH(","&amp;J$1&amp;",",","&amp;SUBSTITUTE(Catalogo!$F22," ","")&amp;",")),Catalogo!$H22&lt;&gt;"N"),"●","")</f>
        <v/>
      </c>
      <c r="K22" s="17">
        <f>IF(AND(ISNUMBER(SEARCH(","&amp;K$1&amp;",",","&amp;SUBSTITUTE(Catalogo!$F22," ","")&amp;",")),Catalogo!$H22&lt;&gt;"N"),"●","")</f>
        <v/>
      </c>
      <c r="L22" s="17">
        <f>IF(AND(ISNUMBER(SEARCH(","&amp;L$1&amp;",",","&amp;SUBSTITUTE(Catalogo!$F22," ","")&amp;",")),Catalogo!$H22&lt;&gt;"N"),"●","")</f>
        <v/>
      </c>
      <c r="M22" s="17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7">
        <f>IF(Catalogo!H23="","(vazio)",Catalogo!H23)</f>
        <v/>
      </c>
      <c r="D23" s="17">
        <f>IF(AND(ISNUMBER(SEARCH(","&amp;D$1&amp;",",","&amp;SUBSTITUTE(Catalogo!$F23," ","")&amp;",")),Catalogo!$H23&lt;&gt;"N"),"●","")</f>
        <v/>
      </c>
      <c r="E23" s="17">
        <f>IF(AND(ISNUMBER(SEARCH(","&amp;E$1&amp;",",","&amp;SUBSTITUTE(Catalogo!$F23," ","")&amp;",")),Catalogo!$H23&lt;&gt;"N"),"●","")</f>
        <v/>
      </c>
      <c r="F23" s="17">
        <f>IF(AND(ISNUMBER(SEARCH(","&amp;F$1&amp;",",","&amp;SUBSTITUTE(Catalogo!$F23," ","")&amp;",")),Catalogo!$H23&lt;&gt;"N"),"●","")</f>
        <v/>
      </c>
      <c r="G23" s="17">
        <f>IF(AND(ISNUMBER(SEARCH(","&amp;G$1&amp;",",","&amp;SUBSTITUTE(Catalogo!$F23," ","")&amp;",")),Catalogo!$H23&lt;&gt;"N"),"●","")</f>
        <v/>
      </c>
      <c r="H23" s="17">
        <f>IF(AND(ISNUMBER(SEARCH(","&amp;H$1&amp;",",","&amp;SUBSTITUTE(Catalogo!$F23," ","")&amp;",")),Catalogo!$H23&lt;&gt;"N"),"●","")</f>
        <v/>
      </c>
      <c r="I23" s="17">
        <f>IF(AND(ISNUMBER(SEARCH(","&amp;I$1&amp;",",","&amp;SUBSTITUTE(Catalogo!$F23," ","")&amp;",")),Catalogo!$H23&lt;&gt;"N"),"●","")</f>
        <v/>
      </c>
      <c r="J23" s="17">
        <f>IF(AND(ISNUMBER(SEARCH(","&amp;J$1&amp;",",","&amp;SUBSTITUTE(Catalogo!$F23," ","")&amp;",")),Catalogo!$H23&lt;&gt;"N"),"●","")</f>
        <v/>
      </c>
      <c r="K23" s="17">
        <f>IF(AND(ISNUMBER(SEARCH(","&amp;K$1&amp;",",","&amp;SUBSTITUTE(Catalogo!$F23," ","")&amp;",")),Catalogo!$H23&lt;&gt;"N"),"●","")</f>
        <v/>
      </c>
      <c r="L23" s="17">
        <f>IF(AND(ISNUMBER(SEARCH(","&amp;L$1&amp;",",","&amp;SUBSTITUTE(Catalogo!$F23," ","")&amp;",")),Catalogo!$H23&lt;&gt;"N"),"●","")</f>
        <v/>
      </c>
      <c r="M23" s="17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7">
        <f>IF(Catalogo!H24="","(vazio)",Catalogo!H24)</f>
        <v/>
      </c>
      <c r="D24" s="17">
        <f>IF(AND(ISNUMBER(SEARCH(","&amp;D$1&amp;",",","&amp;SUBSTITUTE(Catalogo!$F24," ","")&amp;",")),Catalogo!$H24&lt;&gt;"N"),"●","")</f>
        <v/>
      </c>
      <c r="E24" s="17">
        <f>IF(AND(ISNUMBER(SEARCH(","&amp;E$1&amp;",",","&amp;SUBSTITUTE(Catalogo!$F24," ","")&amp;",")),Catalogo!$H24&lt;&gt;"N"),"●","")</f>
        <v/>
      </c>
      <c r="F24" s="17">
        <f>IF(AND(ISNUMBER(SEARCH(","&amp;F$1&amp;",",","&amp;SUBSTITUTE(Catalogo!$F24," ","")&amp;",")),Catalogo!$H24&lt;&gt;"N"),"●","")</f>
        <v/>
      </c>
      <c r="G24" s="17">
        <f>IF(AND(ISNUMBER(SEARCH(","&amp;G$1&amp;",",","&amp;SUBSTITUTE(Catalogo!$F24," ","")&amp;",")),Catalogo!$H24&lt;&gt;"N"),"●","")</f>
        <v/>
      </c>
      <c r="H24" s="17">
        <f>IF(AND(ISNUMBER(SEARCH(","&amp;H$1&amp;",",","&amp;SUBSTITUTE(Catalogo!$F24," ","")&amp;",")),Catalogo!$H24&lt;&gt;"N"),"●","")</f>
        <v/>
      </c>
      <c r="I24" s="17">
        <f>IF(AND(ISNUMBER(SEARCH(","&amp;I$1&amp;",",","&amp;SUBSTITUTE(Catalogo!$F24," ","")&amp;",")),Catalogo!$H24&lt;&gt;"N"),"●","")</f>
        <v/>
      </c>
      <c r="J24" s="17">
        <f>IF(AND(ISNUMBER(SEARCH(","&amp;J$1&amp;",",","&amp;SUBSTITUTE(Catalogo!$F24," ","")&amp;",")),Catalogo!$H24&lt;&gt;"N"),"●","")</f>
        <v/>
      </c>
      <c r="K24" s="17">
        <f>IF(AND(ISNUMBER(SEARCH(","&amp;K$1&amp;",",","&amp;SUBSTITUTE(Catalogo!$F24," ","")&amp;",")),Catalogo!$H24&lt;&gt;"N"),"●","")</f>
        <v/>
      </c>
      <c r="L24" s="17">
        <f>IF(AND(ISNUMBER(SEARCH(","&amp;L$1&amp;",",","&amp;SUBSTITUTE(Catalogo!$F24," ","")&amp;",")),Catalogo!$H24&lt;&gt;"N"),"●","")</f>
        <v/>
      </c>
      <c r="M24" s="17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7">
        <f>IF(Catalogo!H25="","(vazio)",Catalogo!H25)</f>
        <v/>
      </c>
      <c r="D25" s="17">
        <f>IF(AND(ISNUMBER(SEARCH(","&amp;D$1&amp;",",","&amp;SUBSTITUTE(Catalogo!$F25," ","")&amp;",")),Catalogo!$H25&lt;&gt;"N"),"●","")</f>
        <v/>
      </c>
      <c r="E25" s="17">
        <f>IF(AND(ISNUMBER(SEARCH(","&amp;E$1&amp;",",","&amp;SUBSTITUTE(Catalogo!$F25," ","")&amp;",")),Catalogo!$H25&lt;&gt;"N"),"●","")</f>
        <v/>
      </c>
      <c r="F25" s="17">
        <f>IF(AND(ISNUMBER(SEARCH(","&amp;F$1&amp;",",","&amp;SUBSTITUTE(Catalogo!$F25," ","")&amp;",")),Catalogo!$H25&lt;&gt;"N"),"●","")</f>
        <v/>
      </c>
      <c r="G25" s="17">
        <f>IF(AND(ISNUMBER(SEARCH(","&amp;G$1&amp;",",","&amp;SUBSTITUTE(Catalogo!$F25," ","")&amp;",")),Catalogo!$H25&lt;&gt;"N"),"●","")</f>
        <v/>
      </c>
      <c r="H25" s="17">
        <f>IF(AND(ISNUMBER(SEARCH(","&amp;H$1&amp;",",","&amp;SUBSTITUTE(Catalogo!$F25," ","")&amp;",")),Catalogo!$H25&lt;&gt;"N"),"●","")</f>
        <v/>
      </c>
      <c r="I25" s="17">
        <f>IF(AND(ISNUMBER(SEARCH(","&amp;I$1&amp;",",","&amp;SUBSTITUTE(Catalogo!$F25," ","")&amp;",")),Catalogo!$H25&lt;&gt;"N"),"●","")</f>
        <v/>
      </c>
      <c r="J25" s="17">
        <f>IF(AND(ISNUMBER(SEARCH(","&amp;J$1&amp;",",","&amp;SUBSTITUTE(Catalogo!$F25," ","")&amp;",")),Catalogo!$H25&lt;&gt;"N"),"●","")</f>
        <v/>
      </c>
      <c r="K25" s="17">
        <f>IF(AND(ISNUMBER(SEARCH(","&amp;K$1&amp;",",","&amp;SUBSTITUTE(Catalogo!$F25," ","")&amp;",")),Catalogo!$H25&lt;&gt;"N"),"●","")</f>
        <v/>
      </c>
      <c r="L25" s="17">
        <f>IF(AND(ISNUMBER(SEARCH(","&amp;L$1&amp;",",","&amp;SUBSTITUTE(Catalogo!$F25," ","")&amp;",")),Catalogo!$H25&lt;&gt;"N"),"●","")</f>
        <v/>
      </c>
      <c r="M25" s="17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7">
        <f>IF(Catalogo!H26="","(vazio)",Catalogo!H26)</f>
        <v/>
      </c>
      <c r="D26" s="17">
        <f>IF(AND(ISNUMBER(SEARCH(","&amp;D$1&amp;",",","&amp;SUBSTITUTE(Catalogo!$F26," ","")&amp;",")),Catalogo!$H26&lt;&gt;"N"),"●","")</f>
        <v/>
      </c>
      <c r="E26" s="17">
        <f>IF(AND(ISNUMBER(SEARCH(","&amp;E$1&amp;",",","&amp;SUBSTITUTE(Catalogo!$F26," ","")&amp;",")),Catalogo!$H26&lt;&gt;"N"),"●","")</f>
        <v/>
      </c>
      <c r="F26" s="17">
        <f>IF(AND(ISNUMBER(SEARCH(","&amp;F$1&amp;",",","&amp;SUBSTITUTE(Catalogo!$F26," ","")&amp;",")),Catalogo!$H26&lt;&gt;"N"),"●","")</f>
        <v/>
      </c>
      <c r="G26" s="17">
        <f>IF(AND(ISNUMBER(SEARCH(","&amp;G$1&amp;",",","&amp;SUBSTITUTE(Catalogo!$F26," ","")&amp;",")),Catalogo!$H26&lt;&gt;"N"),"●","")</f>
        <v/>
      </c>
      <c r="H26" s="17">
        <f>IF(AND(ISNUMBER(SEARCH(","&amp;H$1&amp;",",","&amp;SUBSTITUTE(Catalogo!$F26," ","")&amp;",")),Catalogo!$H26&lt;&gt;"N"),"●","")</f>
        <v/>
      </c>
      <c r="I26" s="17">
        <f>IF(AND(ISNUMBER(SEARCH(","&amp;I$1&amp;",",","&amp;SUBSTITUTE(Catalogo!$F26," ","")&amp;",")),Catalogo!$H26&lt;&gt;"N"),"●","")</f>
        <v/>
      </c>
      <c r="J26" s="17">
        <f>IF(AND(ISNUMBER(SEARCH(","&amp;J$1&amp;",",","&amp;SUBSTITUTE(Catalogo!$F26," ","")&amp;",")),Catalogo!$H26&lt;&gt;"N"),"●","")</f>
        <v/>
      </c>
      <c r="K26" s="17">
        <f>IF(AND(ISNUMBER(SEARCH(","&amp;K$1&amp;",",","&amp;SUBSTITUTE(Catalogo!$F26," ","")&amp;",")),Catalogo!$H26&lt;&gt;"N"),"●","")</f>
        <v/>
      </c>
      <c r="L26" s="17">
        <f>IF(AND(ISNUMBER(SEARCH(","&amp;L$1&amp;",",","&amp;SUBSTITUTE(Catalogo!$F26," ","")&amp;",")),Catalogo!$H26&lt;&gt;"N"),"●","")</f>
        <v/>
      </c>
      <c r="M26" s="17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7">
        <f>IF(Catalogo!H27="","(vazio)",Catalogo!H27)</f>
        <v/>
      </c>
      <c r="D27" s="17">
        <f>IF(AND(ISNUMBER(SEARCH(","&amp;D$1&amp;",",","&amp;SUBSTITUTE(Catalogo!$F27," ","")&amp;",")),Catalogo!$H27&lt;&gt;"N"),"●","")</f>
        <v/>
      </c>
      <c r="E27" s="17">
        <f>IF(AND(ISNUMBER(SEARCH(","&amp;E$1&amp;",",","&amp;SUBSTITUTE(Catalogo!$F27," ","")&amp;",")),Catalogo!$H27&lt;&gt;"N"),"●","")</f>
        <v/>
      </c>
      <c r="F27" s="17">
        <f>IF(AND(ISNUMBER(SEARCH(","&amp;F$1&amp;",",","&amp;SUBSTITUTE(Catalogo!$F27," ","")&amp;",")),Catalogo!$H27&lt;&gt;"N"),"●","")</f>
        <v/>
      </c>
      <c r="G27" s="17">
        <f>IF(AND(ISNUMBER(SEARCH(","&amp;G$1&amp;",",","&amp;SUBSTITUTE(Catalogo!$F27," ","")&amp;",")),Catalogo!$H27&lt;&gt;"N"),"●","")</f>
        <v/>
      </c>
      <c r="H27" s="17">
        <f>IF(AND(ISNUMBER(SEARCH(","&amp;H$1&amp;",",","&amp;SUBSTITUTE(Catalogo!$F27," ","")&amp;",")),Catalogo!$H27&lt;&gt;"N"),"●","")</f>
        <v/>
      </c>
      <c r="I27" s="17">
        <f>IF(AND(ISNUMBER(SEARCH(","&amp;I$1&amp;",",","&amp;SUBSTITUTE(Catalogo!$F27," ","")&amp;",")),Catalogo!$H27&lt;&gt;"N"),"●","")</f>
        <v/>
      </c>
      <c r="J27" s="17">
        <f>IF(AND(ISNUMBER(SEARCH(","&amp;J$1&amp;",",","&amp;SUBSTITUTE(Catalogo!$F27," ","")&amp;",")),Catalogo!$H27&lt;&gt;"N"),"●","")</f>
        <v/>
      </c>
      <c r="K27" s="17">
        <f>IF(AND(ISNUMBER(SEARCH(","&amp;K$1&amp;",",","&amp;SUBSTITUTE(Catalogo!$F27," ","")&amp;",")),Catalogo!$H27&lt;&gt;"N"),"●","")</f>
        <v/>
      </c>
      <c r="L27" s="17">
        <f>IF(AND(ISNUMBER(SEARCH(","&amp;L$1&amp;",",","&amp;SUBSTITUTE(Catalogo!$F27," ","")&amp;",")),Catalogo!$H27&lt;&gt;"N"),"●","")</f>
        <v/>
      </c>
      <c r="M27" s="17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7">
        <f>IF(Catalogo!H28="","(vazio)",Catalogo!H28)</f>
        <v/>
      </c>
      <c r="D28" s="17">
        <f>IF(AND(ISNUMBER(SEARCH(","&amp;D$1&amp;",",","&amp;SUBSTITUTE(Catalogo!$F28," ","")&amp;",")),Catalogo!$H28&lt;&gt;"N"),"●","")</f>
        <v/>
      </c>
      <c r="E28" s="17">
        <f>IF(AND(ISNUMBER(SEARCH(","&amp;E$1&amp;",",","&amp;SUBSTITUTE(Catalogo!$F28," ","")&amp;",")),Catalogo!$H28&lt;&gt;"N"),"●","")</f>
        <v/>
      </c>
      <c r="F28" s="17">
        <f>IF(AND(ISNUMBER(SEARCH(","&amp;F$1&amp;",",","&amp;SUBSTITUTE(Catalogo!$F28," ","")&amp;",")),Catalogo!$H28&lt;&gt;"N"),"●","")</f>
        <v/>
      </c>
      <c r="G28" s="17">
        <f>IF(AND(ISNUMBER(SEARCH(","&amp;G$1&amp;",",","&amp;SUBSTITUTE(Catalogo!$F28," ","")&amp;",")),Catalogo!$H28&lt;&gt;"N"),"●","")</f>
        <v/>
      </c>
      <c r="H28" s="17">
        <f>IF(AND(ISNUMBER(SEARCH(","&amp;H$1&amp;",",","&amp;SUBSTITUTE(Catalogo!$F28," ","")&amp;",")),Catalogo!$H28&lt;&gt;"N"),"●","")</f>
        <v/>
      </c>
      <c r="I28" s="17">
        <f>IF(AND(ISNUMBER(SEARCH(","&amp;I$1&amp;",",","&amp;SUBSTITUTE(Catalogo!$F28," ","")&amp;",")),Catalogo!$H28&lt;&gt;"N"),"●","")</f>
        <v/>
      </c>
      <c r="J28" s="17">
        <f>IF(AND(ISNUMBER(SEARCH(","&amp;J$1&amp;",",","&amp;SUBSTITUTE(Catalogo!$F28," ","")&amp;",")),Catalogo!$H28&lt;&gt;"N"),"●","")</f>
        <v/>
      </c>
      <c r="K28" s="17">
        <f>IF(AND(ISNUMBER(SEARCH(","&amp;K$1&amp;",",","&amp;SUBSTITUTE(Catalogo!$F28," ","")&amp;",")),Catalogo!$H28&lt;&gt;"N"),"●","")</f>
        <v/>
      </c>
      <c r="L28" s="17">
        <f>IF(AND(ISNUMBER(SEARCH(","&amp;L$1&amp;",",","&amp;SUBSTITUTE(Catalogo!$F28," ","")&amp;",")),Catalogo!$H28&lt;&gt;"N"),"●","")</f>
        <v/>
      </c>
      <c r="M28" s="17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7">
        <f>IF(Catalogo!H29="","(vazio)",Catalogo!H29)</f>
        <v/>
      </c>
      <c r="D29" s="17">
        <f>IF(AND(ISNUMBER(SEARCH(","&amp;D$1&amp;",",","&amp;SUBSTITUTE(Catalogo!$F29," ","")&amp;",")),Catalogo!$H29&lt;&gt;"N"),"●","")</f>
        <v/>
      </c>
      <c r="E29" s="17">
        <f>IF(AND(ISNUMBER(SEARCH(","&amp;E$1&amp;",",","&amp;SUBSTITUTE(Catalogo!$F29," ","")&amp;",")),Catalogo!$H29&lt;&gt;"N"),"●","")</f>
        <v/>
      </c>
      <c r="F29" s="17">
        <f>IF(AND(ISNUMBER(SEARCH(","&amp;F$1&amp;",",","&amp;SUBSTITUTE(Catalogo!$F29," ","")&amp;",")),Catalogo!$H29&lt;&gt;"N"),"●","")</f>
        <v/>
      </c>
      <c r="G29" s="17">
        <f>IF(AND(ISNUMBER(SEARCH(","&amp;G$1&amp;",",","&amp;SUBSTITUTE(Catalogo!$F29," ","")&amp;",")),Catalogo!$H29&lt;&gt;"N"),"●","")</f>
        <v/>
      </c>
      <c r="H29" s="17">
        <f>IF(AND(ISNUMBER(SEARCH(","&amp;H$1&amp;",",","&amp;SUBSTITUTE(Catalogo!$F29," ","")&amp;",")),Catalogo!$H29&lt;&gt;"N"),"●","")</f>
        <v/>
      </c>
      <c r="I29" s="17">
        <f>IF(AND(ISNUMBER(SEARCH(","&amp;I$1&amp;",",","&amp;SUBSTITUTE(Catalogo!$F29," ","")&amp;",")),Catalogo!$H29&lt;&gt;"N"),"●","")</f>
        <v/>
      </c>
      <c r="J29" s="17">
        <f>IF(AND(ISNUMBER(SEARCH(","&amp;J$1&amp;",",","&amp;SUBSTITUTE(Catalogo!$F29," ","")&amp;",")),Catalogo!$H29&lt;&gt;"N"),"●","")</f>
        <v/>
      </c>
      <c r="K29" s="17">
        <f>IF(AND(ISNUMBER(SEARCH(","&amp;K$1&amp;",",","&amp;SUBSTITUTE(Catalogo!$F29," ","")&amp;",")),Catalogo!$H29&lt;&gt;"N"),"●","")</f>
        <v/>
      </c>
      <c r="L29" s="17">
        <f>IF(AND(ISNUMBER(SEARCH(","&amp;L$1&amp;",",","&amp;SUBSTITUTE(Catalogo!$F29," ","")&amp;",")),Catalogo!$H29&lt;&gt;"N"),"●","")</f>
        <v/>
      </c>
      <c r="M29" s="17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7">
        <f>IF(Catalogo!H30="","(vazio)",Catalogo!H30)</f>
        <v/>
      </c>
      <c r="D30" s="17">
        <f>IF(AND(ISNUMBER(SEARCH(","&amp;D$1&amp;",",","&amp;SUBSTITUTE(Catalogo!$F30," ","")&amp;",")),Catalogo!$H30&lt;&gt;"N"),"●","")</f>
        <v/>
      </c>
      <c r="E30" s="17">
        <f>IF(AND(ISNUMBER(SEARCH(","&amp;E$1&amp;",",","&amp;SUBSTITUTE(Catalogo!$F30," ","")&amp;",")),Catalogo!$H30&lt;&gt;"N"),"●","")</f>
        <v/>
      </c>
      <c r="F30" s="17">
        <f>IF(AND(ISNUMBER(SEARCH(","&amp;F$1&amp;",",","&amp;SUBSTITUTE(Catalogo!$F30," ","")&amp;",")),Catalogo!$H30&lt;&gt;"N"),"●","")</f>
        <v/>
      </c>
      <c r="G30" s="17">
        <f>IF(AND(ISNUMBER(SEARCH(","&amp;G$1&amp;",",","&amp;SUBSTITUTE(Catalogo!$F30," ","")&amp;",")),Catalogo!$H30&lt;&gt;"N"),"●","")</f>
        <v/>
      </c>
      <c r="H30" s="17">
        <f>IF(AND(ISNUMBER(SEARCH(","&amp;H$1&amp;",",","&amp;SUBSTITUTE(Catalogo!$F30," ","")&amp;",")),Catalogo!$H30&lt;&gt;"N"),"●","")</f>
        <v/>
      </c>
      <c r="I30" s="17">
        <f>IF(AND(ISNUMBER(SEARCH(","&amp;I$1&amp;",",","&amp;SUBSTITUTE(Catalogo!$F30," ","")&amp;",")),Catalogo!$H30&lt;&gt;"N"),"●","")</f>
        <v/>
      </c>
      <c r="J30" s="17">
        <f>IF(AND(ISNUMBER(SEARCH(","&amp;J$1&amp;",",","&amp;SUBSTITUTE(Catalogo!$F30," ","")&amp;",")),Catalogo!$H30&lt;&gt;"N"),"●","")</f>
        <v/>
      </c>
      <c r="K30" s="17">
        <f>IF(AND(ISNUMBER(SEARCH(","&amp;K$1&amp;",",","&amp;SUBSTITUTE(Catalogo!$F30," ","")&amp;",")),Catalogo!$H30&lt;&gt;"N"),"●","")</f>
        <v/>
      </c>
      <c r="L30" s="17">
        <f>IF(AND(ISNUMBER(SEARCH(","&amp;L$1&amp;",",","&amp;SUBSTITUTE(Catalogo!$F30," ","")&amp;",")),Catalogo!$H30&lt;&gt;"N"),"●","")</f>
        <v/>
      </c>
      <c r="M30" s="17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7">
        <f>IF(Catalogo!H31="","(vazio)",Catalogo!H31)</f>
        <v/>
      </c>
      <c r="D31" s="17">
        <f>IF(AND(ISNUMBER(SEARCH(","&amp;D$1&amp;",",","&amp;SUBSTITUTE(Catalogo!$F31," ","")&amp;",")),Catalogo!$H31&lt;&gt;"N"),"●","")</f>
        <v/>
      </c>
      <c r="E31" s="17">
        <f>IF(AND(ISNUMBER(SEARCH(","&amp;E$1&amp;",",","&amp;SUBSTITUTE(Catalogo!$F31," ","")&amp;",")),Catalogo!$H31&lt;&gt;"N"),"●","")</f>
        <v/>
      </c>
      <c r="F31" s="17">
        <f>IF(AND(ISNUMBER(SEARCH(","&amp;F$1&amp;",",","&amp;SUBSTITUTE(Catalogo!$F31," ","")&amp;",")),Catalogo!$H31&lt;&gt;"N"),"●","")</f>
        <v/>
      </c>
      <c r="G31" s="17">
        <f>IF(AND(ISNUMBER(SEARCH(","&amp;G$1&amp;",",","&amp;SUBSTITUTE(Catalogo!$F31," ","")&amp;",")),Catalogo!$H31&lt;&gt;"N"),"●","")</f>
        <v/>
      </c>
      <c r="H31" s="17">
        <f>IF(AND(ISNUMBER(SEARCH(","&amp;H$1&amp;",",","&amp;SUBSTITUTE(Catalogo!$F31," ","")&amp;",")),Catalogo!$H31&lt;&gt;"N"),"●","")</f>
        <v/>
      </c>
      <c r="I31" s="17">
        <f>IF(AND(ISNUMBER(SEARCH(","&amp;I$1&amp;",",","&amp;SUBSTITUTE(Catalogo!$F31," ","")&amp;",")),Catalogo!$H31&lt;&gt;"N"),"●","")</f>
        <v/>
      </c>
      <c r="J31" s="17">
        <f>IF(AND(ISNUMBER(SEARCH(","&amp;J$1&amp;",",","&amp;SUBSTITUTE(Catalogo!$F31," ","")&amp;",")),Catalogo!$H31&lt;&gt;"N"),"●","")</f>
        <v/>
      </c>
      <c r="K31" s="17">
        <f>IF(AND(ISNUMBER(SEARCH(","&amp;K$1&amp;",",","&amp;SUBSTITUTE(Catalogo!$F31," ","")&amp;",")),Catalogo!$H31&lt;&gt;"N"),"●","")</f>
        <v/>
      </c>
      <c r="L31" s="17">
        <f>IF(AND(ISNUMBER(SEARCH(","&amp;L$1&amp;",",","&amp;SUBSTITUTE(Catalogo!$F31," ","")&amp;",")),Catalogo!$H31&lt;&gt;"N"),"●","")</f>
        <v/>
      </c>
      <c r="M31" s="17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7">
        <f>IF(Catalogo!H32="","(vazio)",Catalogo!H32)</f>
        <v/>
      </c>
      <c r="D32" s="17">
        <f>IF(AND(ISNUMBER(SEARCH(","&amp;D$1&amp;",",","&amp;SUBSTITUTE(Catalogo!$F32," ","")&amp;",")),Catalogo!$H32&lt;&gt;"N"),"●","")</f>
        <v/>
      </c>
      <c r="E32" s="17">
        <f>IF(AND(ISNUMBER(SEARCH(","&amp;E$1&amp;",",","&amp;SUBSTITUTE(Catalogo!$F32," ","")&amp;",")),Catalogo!$H32&lt;&gt;"N"),"●","")</f>
        <v/>
      </c>
      <c r="F32" s="17">
        <f>IF(AND(ISNUMBER(SEARCH(","&amp;F$1&amp;",",","&amp;SUBSTITUTE(Catalogo!$F32," ","")&amp;",")),Catalogo!$H32&lt;&gt;"N"),"●","")</f>
        <v/>
      </c>
      <c r="G32" s="17">
        <f>IF(AND(ISNUMBER(SEARCH(","&amp;G$1&amp;",",","&amp;SUBSTITUTE(Catalogo!$F32," ","")&amp;",")),Catalogo!$H32&lt;&gt;"N"),"●","")</f>
        <v/>
      </c>
      <c r="H32" s="17">
        <f>IF(AND(ISNUMBER(SEARCH(","&amp;H$1&amp;",",","&amp;SUBSTITUTE(Catalogo!$F32," ","")&amp;",")),Catalogo!$H32&lt;&gt;"N"),"●","")</f>
        <v/>
      </c>
      <c r="I32" s="17">
        <f>IF(AND(ISNUMBER(SEARCH(","&amp;I$1&amp;",",","&amp;SUBSTITUTE(Catalogo!$F32," ","")&amp;",")),Catalogo!$H32&lt;&gt;"N"),"●","")</f>
        <v/>
      </c>
      <c r="J32" s="17">
        <f>IF(AND(ISNUMBER(SEARCH(","&amp;J$1&amp;",",","&amp;SUBSTITUTE(Catalogo!$F32," ","")&amp;",")),Catalogo!$H32&lt;&gt;"N"),"●","")</f>
        <v/>
      </c>
      <c r="K32" s="17">
        <f>IF(AND(ISNUMBER(SEARCH(","&amp;K$1&amp;",",","&amp;SUBSTITUTE(Catalogo!$F32," ","")&amp;",")),Catalogo!$H32&lt;&gt;"N"),"●","")</f>
        <v/>
      </c>
      <c r="L32" s="17">
        <f>IF(AND(ISNUMBER(SEARCH(","&amp;L$1&amp;",",","&amp;SUBSTITUTE(Catalogo!$F32," ","")&amp;",")),Catalogo!$H32&lt;&gt;"N"),"●","")</f>
        <v/>
      </c>
      <c r="M32" s="17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7">
        <f>IF(Catalogo!H33="","(vazio)",Catalogo!H33)</f>
        <v/>
      </c>
      <c r="D33" s="17">
        <f>IF(AND(ISNUMBER(SEARCH(","&amp;D$1&amp;",",","&amp;SUBSTITUTE(Catalogo!$F33," ","")&amp;",")),Catalogo!$H33&lt;&gt;"N"),"●","")</f>
        <v/>
      </c>
      <c r="E33" s="17">
        <f>IF(AND(ISNUMBER(SEARCH(","&amp;E$1&amp;",",","&amp;SUBSTITUTE(Catalogo!$F33," ","")&amp;",")),Catalogo!$H33&lt;&gt;"N"),"●","")</f>
        <v/>
      </c>
      <c r="F33" s="17">
        <f>IF(AND(ISNUMBER(SEARCH(","&amp;F$1&amp;",",","&amp;SUBSTITUTE(Catalogo!$F33," ","")&amp;",")),Catalogo!$H33&lt;&gt;"N"),"●","")</f>
        <v/>
      </c>
      <c r="G33" s="17">
        <f>IF(AND(ISNUMBER(SEARCH(","&amp;G$1&amp;",",","&amp;SUBSTITUTE(Catalogo!$F33," ","")&amp;",")),Catalogo!$H33&lt;&gt;"N"),"●","")</f>
        <v/>
      </c>
      <c r="H33" s="17">
        <f>IF(AND(ISNUMBER(SEARCH(","&amp;H$1&amp;",",","&amp;SUBSTITUTE(Catalogo!$F33," ","")&amp;",")),Catalogo!$H33&lt;&gt;"N"),"●","")</f>
        <v/>
      </c>
      <c r="I33" s="17">
        <f>IF(AND(ISNUMBER(SEARCH(","&amp;I$1&amp;",",","&amp;SUBSTITUTE(Catalogo!$F33," ","")&amp;",")),Catalogo!$H33&lt;&gt;"N"),"●","")</f>
        <v/>
      </c>
      <c r="J33" s="17">
        <f>IF(AND(ISNUMBER(SEARCH(","&amp;J$1&amp;",",","&amp;SUBSTITUTE(Catalogo!$F33," ","")&amp;",")),Catalogo!$H33&lt;&gt;"N"),"●","")</f>
        <v/>
      </c>
      <c r="K33" s="17">
        <f>IF(AND(ISNUMBER(SEARCH(","&amp;K$1&amp;",",","&amp;SUBSTITUTE(Catalogo!$F33," ","")&amp;",")),Catalogo!$H33&lt;&gt;"N"),"●","")</f>
        <v/>
      </c>
      <c r="L33" s="17">
        <f>IF(AND(ISNUMBER(SEARCH(","&amp;L$1&amp;",",","&amp;SUBSTITUTE(Catalogo!$F33," ","")&amp;",")),Catalogo!$H33&lt;&gt;"N"),"●","")</f>
        <v/>
      </c>
      <c r="M33" s="17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7">
        <f>IF(Catalogo!H34="","(vazio)",Catalogo!H34)</f>
        <v/>
      </c>
      <c r="D34" s="17">
        <f>IF(AND(ISNUMBER(SEARCH(","&amp;D$1&amp;",",","&amp;SUBSTITUTE(Catalogo!$F34," ","")&amp;",")),Catalogo!$H34&lt;&gt;"N"),"●","")</f>
        <v/>
      </c>
      <c r="E34" s="17">
        <f>IF(AND(ISNUMBER(SEARCH(","&amp;E$1&amp;",",","&amp;SUBSTITUTE(Catalogo!$F34," ","")&amp;",")),Catalogo!$H34&lt;&gt;"N"),"●","")</f>
        <v/>
      </c>
      <c r="F34" s="17">
        <f>IF(AND(ISNUMBER(SEARCH(","&amp;F$1&amp;",",","&amp;SUBSTITUTE(Catalogo!$F34," ","")&amp;",")),Catalogo!$H34&lt;&gt;"N"),"●","")</f>
        <v/>
      </c>
      <c r="G34" s="17">
        <f>IF(AND(ISNUMBER(SEARCH(","&amp;G$1&amp;",",","&amp;SUBSTITUTE(Catalogo!$F34," ","")&amp;",")),Catalogo!$H34&lt;&gt;"N"),"●","")</f>
        <v/>
      </c>
      <c r="H34" s="17">
        <f>IF(AND(ISNUMBER(SEARCH(","&amp;H$1&amp;",",","&amp;SUBSTITUTE(Catalogo!$F34," ","")&amp;",")),Catalogo!$H34&lt;&gt;"N"),"●","")</f>
        <v/>
      </c>
      <c r="I34" s="17">
        <f>IF(AND(ISNUMBER(SEARCH(","&amp;I$1&amp;",",","&amp;SUBSTITUTE(Catalogo!$F34," ","")&amp;",")),Catalogo!$H34&lt;&gt;"N"),"●","")</f>
        <v/>
      </c>
      <c r="J34" s="17">
        <f>IF(AND(ISNUMBER(SEARCH(","&amp;J$1&amp;",",","&amp;SUBSTITUTE(Catalogo!$F34," ","")&amp;",")),Catalogo!$H34&lt;&gt;"N"),"●","")</f>
        <v/>
      </c>
      <c r="K34" s="17">
        <f>IF(AND(ISNUMBER(SEARCH(","&amp;K$1&amp;",",","&amp;SUBSTITUTE(Catalogo!$F34," ","")&amp;",")),Catalogo!$H34&lt;&gt;"N"),"●","")</f>
        <v/>
      </c>
      <c r="L34" s="17">
        <f>IF(AND(ISNUMBER(SEARCH(","&amp;L$1&amp;",",","&amp;SUBSTITUTE(Catalogo!$F34," ","")&amp;",")),Catalogo!$H34&lt;&gt;"N"),"●","")</f>
        <v/>
      </c>
      <c r="M34" s="17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7">
        <f>IF(Catalogo!H35="","(vazio)",Catalogo!H35)</f>
        <v/>
      </c>
      <c r="D35" s="17">
        <f>IF(AND(ISNUMBER(SEARCH(","&amp;D$1&amp;",",","&amp;SUBSTITUTE(Catalogo!$F35," ","")&amp;",")),Catalogo!$H35&lt;&gt;"N"),"●","")</f>
        <v/>
      </c>
      <c r="E35" s="17">
        <f>IF(AND(ISNUMBER(SEARCH(","&amp;E$1&amp;",",","&amp;SUBSTITUTE(Catalogo!$F35," ","")&amp;",")),Catalogo!$H35&lt;&gt;"N"),"●","")</f>
        <v/>
      </c>
      <c r="F35" s="17">
        <f>IF(AND(ISNUMBER(SEARCH(","&amp;F$1&amp;",",","&amp;SUBSTITUTE(Catalogo!$F35," ","")&amp;",")),Catalogo!$H35&lt;&gt;"N"),"●","")</f>
        <v/>
      </c>
      <c r="G35" s="17">
        <f>IF(AND(ISNUMBER(SEARCH(","&amp;G$1&amp;",",","&amp;SUBSTITUTE(Catalogo!$F35," ","")&amp;",")),Catalogo!$H35&lt;&gt;"N"),"●","")</f>
        <v/>
      </c>
      <c r="H35" s="17">
        <f>IF(AND(ISNUMBER(SEARCH(","&amp;H$1&amp;",",","&amp;SUBSTITUTE(Catalogo!$F35," ","")&amp;",")),Catalogo!$H35&lt;&gt;"N"),"●","")</f>
        <v/>
      </c>
      <c r="I35" s="17">
        <f>IF(AND(ISNUMBER(SEARCH(","&amp;I$1&amp;",",","&amp;SUBSTITUTE(Catalogo!$F35," ","")&amp;",")),Catalogo!$H35&lt;&gt;"N"),"●","")</f>
        <v/>
      </c>
      <c r="J35" s="17">
        <f>IF(AND(ISNUMBER(SEARCH(","&amp;J$1&amp;",",","&amp;SUBSTITUTE(Catalogo!$F35," ","")&amp;",")),Catalogo!$H35&lt;&gt;"N"),"●","")</f>
        <v/>
      </c>
      <c r="K35" s="17">
        <f>IF(AND(ISNUMBER(SEARCH(","&amp;K$1&amp;",",","&amp;SUBSTITUTE(Catalogo!$F35," ","")&amp;",")),Catalogo!$H35&lt;&gt;"N"),"●","")</f>
        <v/>
      </c>
      <c r="L35" s="17">
        <f>IF(AND(ISNUMBER(SEARCH(","&amp;L$1&amp;",",","&amp;SUBSTITUTE(Catalogo!$F35," ","")&amp;",")),Catalogo!$H35&lt;&gt;"N"),"●","")</f>
        <v/>
      </c>
      <c r="M35" s="17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7">
        <f>IF(Catalogo!H36="","(vazio)",Catalogo!H36)</f>
        <v/>
      </c>
      <c r="D36" s="17">
        <f>IF(AND(ISNUMBER(SEARCH(","&amp;D$1&amp;",",","&amp;SUBSTITUTE(Catalogo!$F36," ","")&amp;",")),Catalogo!$H36&lt;&gt;"N"),"●","")</f>
        <v/>
      </c>
      <c r="E36" s="17">
        <f>IF(AND(ISNUMBER(SEARCH(","&amp;E$1&amp;",",","&amp;SUBSTITUTE(Catalogo!$F36," ","")&amp;",")),Catalogo!$H36&lt;&gt;"N"),"●","")</f>
        <v/>
      </c>
      <c r="F36" s="17">
        <f>IF(AND(ISNUMBER(SEARCH(","&amp;F$1&amp;",",","&amp;SUBSTITUTE(Catalogo!$F36," ","")&amp;",")),Catalogo!$H36&lt;&gt;"N"),"●","")</f>
        <v/>
      </c>
      <c r="G36" s="17">
        <f>IF(AND(ISNUMBER(SEARCH(","&amp;G$1&amp;",",","&amp;SUBSTITUTE(Catalogo!$F36," ","")&amp;",")),Catalogo!$H36&lt;&gt;"N"),"●","")</f>
        <v/>
      </c>
      <c r="H36" s="17">
        <f>IF(AND(ISNUMBER(SEARCH(","&amp;H$1&amp;",",","&amp;SUBSTITUTE(Catalogo!$F36," ","")&amp;",")),Catalogo!$H36&lt;&gt;"N"),"●","")</f>
        <v/>
      </c>
      <c r="I36" s="17">
        <f>IF(AND(ISNUMBER(SEARCH(","&amp;I$1&amp;",",","&amp;SUBSTITUTE(Catalogo!$F36," ","")&amp;",")),Catalogo!$H36&lt;&gt;"N"),"●","")</f>
        <v/>
      </c>
      <c r="J36" s="17">
        <f>IF(AND(ISNUMBER(SEARCH(","&amp;J$1&amp;",",","&amp;SUBSTITUTE(Catalogo!$F36," ","")&amp;",")),Catalogo!$H36&lt;&gt;"N"),"●","")</f>
        <v/>
      </c>
      <c r="K36" s="17">
        <f>IF(AND(ISNUMBER(SEARCH(","&amp;K$1&amp;",",","&amp;SUBSTITUTE(Catalogo!$F36," ","")&amp;",")),Catalogo!$H36&lt;&gt;"N"),"●","")</f>
        <v/>
      </c>
      <c r="L36" s="17">
        <f>IF(AND(ISNUMBER(SEARCH(","&amp;L$1&amp;",",","&amp;SUBSTITUTE(Catalogo!$F36," ","")&amp;",")),Catalogo!$H36&lt;&gt;"N"),"●","")</f>
        <v/>
      </c>
      <c r="M36" s="17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7">
        <f>IF(Catalogo!H37="","(vazio)",Catalogo!H37)</f>
        <v/>
      </c>
      <c r="D37" s="17">
        <f>IF(AND(ISNUMBER(SEARCH(","&amp;D$1&amp;",",","&amp;SUBSTITUTE(Catalogo!$F37," ","")&amp;",")),Catalogo!$H37&lt;&gt;"N"),"●","")</f>
        <v/>
      </c>
      <c r="E37" s="17">
        <f>IF(AND(ISNUMBER(SEARCH(","&amp;E$1&amp;",",","&amp;SUBSTITUTE(Catalogo!$F37," ","")&amp;",")),Catalogo!$H37&lt;&gt;"N"),"●","")</f>
        <v/>
      </c>
      <c r="F37" s="17">
        <f>IF(AND(ISNUMBER(SEARCH(","&amp;F$1&amp;",",","&amp;SUBSTITUTE(Catalogo!$F37," ","")&amp;",")),Catalogo!$H37&lt;&gt;"N"),"●","")</f>
        <v/>
      </c>
      <c r="G37" s="17">
        <f>IF(AND(ISNUMBER(SEARCH(","&amp;G$1&amp;",",","&amp;SUBSTITUTE(Catalogo!$F37," ","")&amp;",")),Catalogo!$H37&lt;&gt;"N"),"●","")</f>
        <v/>
      </c>
      <c r="H37" s="17">
        <f>IF(AND(ISNUMBER(SEARCH(","&amp;H$1&amp;",",","&amp;SUBSTITUTE(Catalogo!$F37," ","")&amp;",")),Catalogo!$H37&lt;&gt;"N"),"●","")</f>
        <v/>
      </c>
      <c r="I37" s="17">
        <f>IF(AND(ISNUMBER(SEARCH(","&amp;I$1&amp;",",","&amp;SUBSTITUTE(Catalogo!$F37," ","")&amp;",")),Catalogo!$H37&lt;&gt;"N"),"●","")</f>
        <v/>
      </c>
      <c r="J37" s="17">
        <f>IF(AND(ISNUMBER(SEARCH(","&amp;J$1&amp;",",","&amp;SUBSTITUTE(Catalogo!$F37," ","")&amp;",")),Catalogo!$H37&lt;&gt;"N"),"●","")</f>
        <v/>
      </c>
      <c r="K37" s="17">
        <f>IF(AND(ISNUMBER(SEARCH(","&amp;K$1&amp;",",","&amp;SUBSTITUTE(Catalogo!$F37," ","")&amp;",")),Catalogo!$H37&lt;&gt;"N"),"●","")</f>
        <v/>
      </c>
      <c r="L37" s="17">
        <f>IF(AND(ISNUMBER(SEARCH(","&amp;L$1&amp;",",","&amp;SUBSTITUTE(Catalogo!$F37," ","")&amp;",")),Catalogo!$H37&lt;&gt;"N"),"●","")</f>
        <v/>
      </c>
      <c r="M37" s="17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7">
        <f>IF(Catalogo!H38="","(vazio)",Catalogo!H38)</f>
        <v/>
      </c>
      <c r="D38" s="17">
        <f>IF(AND(ISNUMBER(SEARCH(","&amp;D$1&amp;",",","&amp;SUBSTITUTE(Catalogo!$F38," ","")&amp;",")),Catalogo!$H38&lt;&gt;"N"),"●","")</f>
        <v/>
      </c>
      <c r="E38" s="17">
        <f>IF(AND(ISNUMBER(SEARCH(","&amp;E$1&amp;",",","&amp;SUBSTITUTE(Catalogo!$F38," ","")&amp;",")),Catalogo!$H38&lt;&gt;"N"),"●","")</f>
        <v/>
      </c>
      <c r="F38" s="17">
        <f>IF(AND(ISNUMBER(SEARCH(","&amp;F$1&amp;",",","&amp;SUBSTITUTE(Catalogo!$F38," ","")&amp;",")),Catalogo!$H38&lt;&gt;"N"),"●","")</f>
        <v/>
      </c>
      <c r="G38" s="17">
        <f>IF(AND(ISNUMBER(SEARCH(","&amp;G$1&amp;",",","&amp;SUBSTITUTE(Catalogo!$F38," ","")&amp;",")),Catalogo!$H38&lt;&gt;"N"),"●","")</f>
        <v/>
      </c>
      <c r="H38" s="17">
        <f>IF(AND(ISNUMBER(SEARCH(","&amp;H$1&amp;",",","&amp;SUBSTITUTE(Catalogo!$F38," ","")&amp;",")),Catalogo!$H38&lt;&gt;"N"),"●","")</f>
        <v/>
      </c>
      <c r="I38" s="17">
        <f>IF(AND(ISNUMBER(SEARCH(","&amp;I$1&amp;",",","&amp;SUBSTITUTE(Catalogo!$F38," ","")&amp;",")),Catalogo!$H38&lt;&gt;"N"),"●","")</f>
        <v/>
      </c>
      <c r="J38" s="17">
        <f>IF(AND(ISNUMBER(SEARCH(","&amp;J$1&amp;",",","&amp;SUBSTITUTE(Catalogo!$F38," ","")&amp;",")),Catalogo!$H38&lt;&gt;"N"),"●","")</f>
        <v/>
      </c>
      <c r="K38" s="17">
        <f>IF(AND(ISNUMBER(SEARCH(","&amp;K$1&amp;",",","&amp;SUBSTITUTE(Catalogo!$F38," ","")&amp;",")),Catalogo!$H38&lt;&gt;"N"),"●","")</f>
        <v/>
      </c>
      <c r="L38" s="17">
        <f>IF(AND(ISNUMBER(SEARCH(","&amp;L$1&amp;",",","&amp;SUBSTITUTE(Catalogo!$F38," ","")&amp;",")),Catalogo!$H38&lt;&gt;"N"),"●","")</f>
        <v/>
      </c>
      <c r="M38" s="17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7">
        <f>IF(Catalogo!H39="","(vazio)",Catalogo!H39)</f>
        <v/>
      </c>
      <c r="D39" s="17">
        <f>IF(AND(ISNUMBER(SEARCH(","&amp;D$1&amp;",",","&amp;SUBSTITUTE(Catalogo!$F39," ","")&amp;",")),Catalogo!$H39&lt;&gt;"N"),"●","")</f>
        <v/>
      </c>
      <c r="E39" s="17">
        <f>IF(AND(ISNUMBER(SEARCH(","&amp;E$1&amp;",",","&amp;SUBSTITUTE(Catalogo!$F39," ","")&amp;",")),Catalogo!$H39&lt;&gt;"N"),"●","")</f>
        <v/>
      </c>
      <c r="F39" s="17">
        <f>IF(AND(ISNUMBER(SEARCH(","&amp;F$1&amp;",",","&amp;SUBSTITUTE(Catalogo!$F39," ","")&amp;",")),Catalogo!$H39&lt;&gt;"N"),"●","")</f>
        <v/>
      </c>
      <c r="G39" s="17">
        <f>IF(AND(ISNUMBER(SEARCH(","&amp;G$1&amp;",",","&amp;SUBSTITUTE(Catalogo!$F39," ","")&amp;",")),Catalogo!$H39&lt;&gt;"N"),"●","")</f>
        <v/>
      </c>
      <c r="H39" s="17">
        <f>IF(AND(ISNUMBER(SEARCH(","&amp;H$1&amp;",",","&amp;SUBSTITUTE(Catalogo!$F39," ","")&amp;",")),Catalogo!$H39&lt;&gt;"N"),"●","")</f>
        <v/>
      </c>
      <c r="I39" s="17">
        <f>IF(AND(ISNUMBER(SEARCH(","&amp;I$1&amp;",",","&amp;SUBSTITUTE(Catalogo!$F39," ","")&amp;",")),Catalogo!$H39&lt;&gt;"N"),"●","")</f>
        <v/>
      </c>
      <c r="J39" s="17">
        <f>IF(AND(ISNUMBER(SEARCH(","&amp;J$1&amp;",",","&amp;SUBSTITUTE(Catalogo!$F39," ","")&amp;",")),Catalogo!$H39&lt;&gt;"N"),"●","")</f>
        <v/>
      </c>
      <c r="K39" s="17">
        <f>IF(AND(ISNUMBER(SEARCH(","&amp;K$1&amp;",",","&amp;SUBSTITUTE(Catalogo!$F39," ","")&amp;",")),Catalogo!$H39&lt;&gt;"N"),"●","")</f>
        <v/>
      </c>
      <c r="L39" s="17">
        <f>IF(AND(ISNUMBER(SEARCH(","&amp;L$1&amp;",",","&amp;SUBSTITUTE(Catalogo!$F39," ","")&amp;",")),Catalogo!$H39&lt;&gt;"N"),"●","")</f>
        <v/>
      </c>
      <c r="M39" s="17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7">
        <f>IF(Catalogo!H40="","(vazio)",Catalogo!H40)</f>
        <v/>
      </c>
      <c r="D40" s="17">
        <f>IF(AND(ISNUMBER(SEARCH(","&amp;D$1&amp;",",","&amp;SUBSTITUTE(Catalogo!$F40," ","")&amp;",")),Catalogo!$H40&lt;&gt;"N"),"●","")</f>
        <v/>
      </c>
      <c r="E40" s="17">
        <f>IF(AND(ISNUMBER(SEARCH(","&amp;E$1&amp;",",","&amp;SUBSTITUTE(Catalogo!$F40," ","")&amp;",")),Catalogo!$H40&lt;&gt;"N"),"●","")</f>
        <v/>
      </c>
      <c r="F40" s="17">
        <f>IF(AND(ISNUMBER(SEARCH(","&amp;F$1&amp;",",","&amp;SUBSTITUTE(Catalogo!$F40," ","")&amp;",")),Catalogo!$H40&lt;&gt;"N"),"●","")</f>
        <v/>
      </c>
      <c r="G40" s="17">
        <f>IF(AND(ISNUMBER(SEARCH(","&amp;G$1&amp;",",","&amp;SUBSTITUTE(Catalogo!$F40," ","")&amp;",")),Catalogo!$H40&lt;&gt;"N"),"●","")</f>
        <v/>
      </c>
      <c r="H40" s="17">
        <f>IF(AND(ISNUMBER(SEARCH(","&amp;H$1&amp;",",","&amp;SUBSTITUTE(Catalogo!$F40," ","")&amp;",")),Catalogo!$H40&lt;&gt;"N"),"●","")</f>
        <v/>
      </c>
      <c r="I40" s="17">
        <f>IF(AND(ISNUMBER(SEARCH(","&amp;I$1&amp;",",","&amp;SUBSTITUTE(Catalogo!$F40," ","")&amp;",")),Catalogo!$H40&lt;&gt;"N"),"●","")</f>
        <v/>
      </c>
      <c r="J40" s="17">
        <f>IF(AND(ISNUMBER(SEARCH(","&amp;J$1&amp;",",","&amp;SUBSTITUTE(Catalogo!$F40," ","")&amp;",")),Catalogo!$H40&lt;&gt;"N"),"●","")</f>
        <v/>
      </c>
      <c r="K40" s="17">
        <f>IF(AND(ISNUMBER(SEARCH(","&amp;K$1&amp;",",","&amp;SUBSTITUTE(Catalogo!$F40," ","")&amp;",")),Catalogo!$H40&lt;&gt;"N"),"●","")</f>
        <v/>
      </c>
      <c r="L40" s="17">
        <f>IF(AND(ISNUMBER(SEARCH(","&amp;L$1&amp;",",","&amp;SUBSTITUTE(Catalogo!$F40," ","")&amp;",")),Catalogo!$H40&lt;&gt;"N"),"●","")</f>
        <v/>
      </c>
      <c r="M40" s="17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7">
        <f>IF(Catalogo!H41="","(vazio)",Catalogo!H41)</f>
        <v/>
      </c>
      <c r="D41" s="17">
        <f>IF(AND(ISNUMBER(SEARCH(","&amp;D$1&amp;",",","&amp;SUBSTITUTE(Catalogo!$F41," ","")&amp;",")),Catalogo!$H41&lt;&gt;"N"),"●","")</f>
        <v/>
      </c>
      <c r="E41" s="17">
        <f>IF(AND(ISNUMBER(SEARCH(","&amp;E$1&amp;",",","&amp;SUBSTITUTE(Catalogo!$F41," ","")&amp;",")),Catalogo!$H41&lt;&gt;"N"),"●","")</f>
        <v/>
      </c>
      <c r="F41" s="17">
        <f>IF(AND(ISNUMBER(SEARCH(","&amp;F$1&amp;",",","&amp;SUBSTITUTE(Catalogo!$F41," ","")&amp;",")),Catalogo!$H41&lt;&gt;"N"),"●","")</f>
        <v/>
      </c>
      <c r="G41" s="17">
        <f>IF(AND(ISNUMBER(SEARCH(","&amp;G$1&amp;",",","&amp;SUBSTITUTE(Catalogo!$F41," ","")&amp;",")),Catalogo!$H41&lt;&gt;"N"),"●","")</f>
        <v/>
      </c>
      <c r="H41" s="17">
        <f>IF(AND(ISNUMBER(SEARCH(","&amp;H$1&amp;",",","&amp;SUBSTITUTE(Catalogo!$F41," ","")&amp;",")),Catalogo!$H41&lt;&gt;"N"),"●","")</f>
        <v/>
      </c>
      <c r="I41" s="17">
        <f>IF(AND(ISNUMBER(SEARCH(","&amp;I$1&amp;",",","&amp;SUBSTITUTE(Catalogo!$F41," ","")&amp;",")),Catalogo!$H41&lt;&gt;"N"),"●","")</f>
        <v/>
      </c>
      <c r="J41" s="17">
        <f>IF(AND(ISNUMBER(SEARCH(","&amp;J$1&amp;",",","&amp;SUBSTITUTE(Catalogo!$F41," ","")&amp;",")),Catalogo!$H41&lt;&gt;"N"),"●","")</f>
        <v/>
      </c>
      <c r="K41" s="17">
        <f>IF(AND(ISNUMBER(SEARCH(","&amp;K$1&amp;",",","&amp;SUBSTITUTE(Catalogo!$F41," ","")&amp;",")),Catalogo!$H41&lt;&gt;"N"),"●","")</f>
        <v/>
      </c>
      <c r="L41" s="17">
        <f>IF(AND(ISNUMBER(SEARCH(","&amp;L$1&amp;",",","&amp;SUBSTITUTE(Catalogo!$F41," ","")&amp;",")),Catalogo!$H41&lt;&gt;"N"),"●","")</f>
        <v/>
      </c>
      <c r="M41" s="17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7">
        <f>IF(Catalogo!H42="","(vazio)",Catalogo!H42)</f>
        <v/>
      </c>
      <c r="D42" s="17">
        <f>IF(AND(ISNUMBER(SEARCH(","&amp;D$1&amp;",",","&amp;SUBSTITUTE(Catalogo!$F42," ","")&amp;",")),Catalogo!$H42&lt;&gt;"N"),"●","")</f>
        <v/>
      </c>
      <c r="E42" s="17">
        <f>IF(AND(ISNUMBER(SEARCH(","&amp;E$1&amp;",",","&amp;SUBSTITUTE(Catalogo!$F42," ","")&amp;",")),Catalogo!$H42&lt;&gt;"N"),"●","")</f>
        <v/>
      </c>
      <c r="F42" s="17">
        <f>IF(AND(ISNUMBER(SEARCH(","&amp;F$1&amp;",",","&amp;SUBSTITUTE(Catalogo!$F42," ","")&amp;",")),Catalogo!$H42&lt;&gt;"N"),"●","")</f>
        <v/>
      </c>
      <c r="G42" s="17">
        <f>IF(AND(ISNUMBER(SEARCH(","&amp;G$1&amp;",",","&amp;SUBSTITUTE(Catalogo!$F42," ","")&amp;",")),Catalogo!$H42&lt;&gt;"N"),"●","")</f>
        <v/>
      </c>
      <c r="H42" s="17">
        <f>IF(AND(ISNUMBER(SEARCH(","&amp;H$1&amp;",",","&amp;SUBSTITUTE(Catalogo!$F42," ","")&amp;",")),Catalogo!$H42&lt;&gt;"N"),"●","")</f>
        <v/>
      </c>
      <c r="I42" s="17">
        <f>IF(AND(ISNUMBER(SEARCH(","&amp;I$1&amp;",",","&amp;SUBSTITUTE(Catalogo!$F42," ","")&amp;",")),Catalogo!$H42&lt;&gt;"N"),"●","")</f>
        <v/>
      </c>
      <c r="J42" s="17">
        <f>IF(AND(ISNUMBER(SEARCH(","&amp;J$1&amp;",",","&amp;SUBSTITUTE(Catalogo!$F42," ","")&amp;",")),Catalogo!$H42&lt;&gt;"N"),"●","")</f>
        <v/>
      </c>
      <c r="K42" s="17">
        <f>IF(AND(ISNUMBER(SEARCH(","&amp;K$1&amp;",",","&amp;SUBSTITUTE(Catalogo!$F42," ","")&amp;",")),Catalogo!$H42&lt;&gt;"N"),"●","")</f>
        <v/>
      </c>
      <c r="L42" s="17">
        <f>IF(AND(ISNUMBER(SEARCH(","&amp;L$1&amp;",",","&amp;SUBSTITUTE(Catalogo!$F42," ","")&amp;",")),Catalogo!$H42&lt;&gt;"N"),"●","")</f>
        <v/>
      </c>
      <c r="M42" s="17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7">
        <f>IF(Catalogo!H43="","(vazio)",Catalogo!H43)</f>
        <v/>
      </c>
      <c r="D43" s="17">
        <f>IF(AND(ISNUMBER(SEARCH(","&amp;D$1&amp;",",","&amp;SUBSTITUTE(Catalogo!$F43," ","")&amp;",")),Catalogo!$H43&lt;&gt;"N"),"●","")</f>
        <v/>
      </c>
      <c r="E43" s="17">
        <f>IF(AND(ISNUMBER(SEARCH(","&amp;E$1&amp;",",","&amp;SUBSTITUTE(Catalogo!$F43," ","")&amp;",")),Catalogo!$H43&lt;&gt;"N"),"●","")</f>
        <v/>
      </c>
      <c r="F43" s="17">
        <f>IF(AND(ISNUMBER(SEARCH(","&amp;F$1&amp;",",","&amp;SUBSTITUTE(Catalogo!$F43," ","")&amp;",")),Catalogo!$H43&lt;&gt;"N"),"●","")</f>
        <v/>
      </c>
      <c r="G43" s="17">
        <f>IF(AND(ISNUMBER(SEARCH(","&amp;G$1&amp;",",","&amp;SUBSTITUTE(Catalogo!$F43," ","")&amp;",")),Catalogo!$H43&lt;&gt;"N"),"●","")</f>
        <v/>
      </c>
      <c r="H43" s="17">
        <f>IF(AND(ISNUMBER(SEARCH(","&amp;H$1&amp;",",","&amp;SUBSTITUTE(Catalogo!$F43," ","")&amp;",")),Catalogo!$H43&lt;&gt;"N"),"●","")</f>
        <v/>
      </c>
      <c r="I43" s="17">
        <f>IF(AND(ISNUMBER(SEARCH(","&amp;I$1&amp;",",","&amp;SUBSTITUTE(Catalogo!$F43," ","")&amp;",")),Catalogo!$H43&lt;&gt;"N"),"●","")</f>
        <v/>
      </c>
      <c r="J43" s="17">
        <f>IF(AND(ISNUMBER(SEARCH(","&amp;J$1&amp;",",","&amp;SUBSTITUTE(Catalogo!$F43," ","")&amp;",")),Catalogo!$H43&lt;&gt;"N"),"●","")</f>
        <v/>
      </c>
      <c r="K43" s="17">
        <f>IF(AND(ISNUMBER(SEARCH(","&amp;K$1&amp;",",","&amp;SUBSTITUTE(Catalogo!$F43," ","")&amp;",")),Catalogo!$H43&lt;&gt;"N"),"●","")</f>
        <v/>
      </c>
      <c r="L43" s="17">
        <f>IF(AND(ISNUMBER(SEARCH(","&amp;L$1&amp;",",","&amp;SUBSTITUTE(Catalogo!$F43," ","")&amp;",")),Catalogo!$H43&lt;&gt;"N"),"●","")</f>
        <v/>
      </c>
      <c r="M43" s="17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7">
        <f>IF(Catalogo!H44="","(vazio)",Catalogo!H44)</f>
        <v/>
      </c>
      <c r="D44" s="17">
        <f>IF(AND(ISNUMBER(SEARCH(","&amp;D$1&amp;",",","&amp;SUBSTITUTE(Catalogo!$F44," ","")&amp;",")),Catalogo!$H44&lt;&gt;"N"),"●","")</f>
        <v/>
      </c>
      <c r="E44" s="17">
        <f>IF(AND(ISNUMBER(SEARCH(","&amp;E$1&amp;",",","&amp;SUBSTITUTE(Catalogo!$F44," ","")&amp;",")),Catalogo!$H44&lt;&gt;"N"),"●","")</f>
        <v/>
      </c>
      <c r="F44" s="17">
        <f>IF(AND(ISNUMBER(SEARCH(","&amp;F$1&amp;",",","&amp;SUBSTITUTE(Catalogo!$F44," ","")&amp;",")),Catalogo!$H44&lt;&gt;"N"),"●","")</f>
        <v/>
      </c>
      <c r="G44" s="17">
        <f>IF(AND(ISNUMBER(SEARCH(","&amp;G$1&amp;",",","&amp;SUBSTITUTE(Catalogo!$F44," ","")&amp;",")),Catalogo!$H44&lt;&gt;"N"),"●","")</f>
        <v/>
      </c>
      <c r="H44" s="17">
        <f>IF(AND(ISNUMBER(SEARCH(","&amp;H$1&amp;",",","&amp;SUBSTITUTE(Catalogo!$F44," ","")&amp;",")),Catalogo!$H44&lt;&gt;"N"),"●","")</f>
        <v/>
      </c>
      <c r="I44" s="17">
        <f>IF(AND(ISNUMBER(SEARCH(","&amp;I$1&amp;",",","&amp;SUBSTITUTE(Catalogo!$F44," ","")&amp;",")),Catalogo!$H44&lt;&gt;"N"),"●","")</f>
        <v/>
      </c>
      <c r="J44" s="17">
        <f>IF(AND(ISNUMBER(SEARCH(","&amp;J$1&amp;",",","&amp;SUBSTITUTE(Catalogo!$F44," ","")&amp;",")),Catalogo!$H44&lt;&gt;"N"),"●","")</f>
        <v/>
      </c>
      <c r="K44" s="17">
        <f>IF(AND(ISNUMBER(SEARCH(","&amp;K$1&amp;",",","&amp;SUBSTITUTE(Catalogo!$F44," ","")&amp;",")),Catalogo!$H44&lt;&gt;"N"),"●","")</f>
        <v/>
      </c>
      <c r="L44" s="17">
        <f>IF(AND(ISNUMBER(SEARCH(","&amp;L$1&amp;",",","&amp;SUBSTITUTE(Catalogo!$F44," ","")&amp;",")),Catalogo!$H44&lt;&gt;"N"),"●","")</f>
        <v/>
      </c>
      <c r="M44" s="17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7">
        <f>IF(Catalogo!H45="","(vazio)",Catalogo!H45)</f>
        <v/>
      </c>
      <c r="D45" s="17">
        <f>IF(AND(ISNUMBER(SEARCH(","&amp;D$1&amp;",",","&amp;SUBSTITUTE(Catalogo!$F45," ","")&amp;",")),Catalogo!$H45&lt;&gt;"N"),"●","")</f>
        <v/>
      </c>
      <c r="E45" s="17">
        <f>IF(AND(ISNUMBER(SEARCH(","&amp;E$1&amp;",",","&amp;SUBSTITUTE(Catalogo!$F45," ","")&amp;",")),Catalogo!$H45&lt;&gt;"N"),"●","")</f>
        <v/>
      </c>
      <c r="F45" s="17">
        <f>IF(AND(ISNUMBER(SEARCH(","&amp;F$1&amp;",",","&amp;SUBSTITUTE(Catalogo!$F45," ","")&amp;",")),Catalogo!$H45&lt;&gt;"N"),"●","")</f>
        <v/>
      </c>
      <c r="G45" s="17">
        <f>IF(AND(ISNUMBER(SEARCH(","&amp;G$1&amp;",",","&amp;SUBSTITUTE(Catalogo!$F45," ","")&amp;",")),Catalogo!$H45&lt;&gt;"N"),"●","")</f>
        <v/>
      </c>
      <c r="H45" s="17">
        <f>IF(AND(ISNUMBER(SEARCH(","&amp;H$1&amp;",",","&amp;SUBSTITUTE(Catalogo!$F45," ","")&amp;",")),Catalogo!$H45&lt;&gt;"N"),"●","")</f>
        <v/>
      </c>
      <c r="I45" s="17">
        <f>IF(AND(ISNUMBER(SEARCH(","&amp;I$1&amp;",",","&amp;SUBSTITUTE(Catalogo!$F45," ","")&amp;",")),Catalogo!$H45&lt;&gt;"N"),"●","")</f>
        <v/>
      </c>
      <c r="J45" s="17">
        <f>IF(AND(ISNUMBER(SEARCH(","&amp;J$1&amp;",",","&amp;SUBSTITUTE(Catalogo!$F45," ","")&amp;",")),Catalogo!$H45&lt;&gt;"N"),"●","")</f>
        <v/>
      </c>
      <c r="K45" s="17">
        <f>IF(AND(ISNUMBER(SEARCH(","&amp;K$1&amp;",",","&amp;SUBSTITUTE(Catalogo!$F45," ","")&amp;",")),Catalogo!$H45&lt;&gt;"N"),"●","")</f>
        <v/>
      </c>
      <c r="L45" s="17">
        <f>IF(AND(ISNUMBER(SEARCH(","&amp;L$1&amp;",",","&amp;SUBSTITUTE(Catalogo!$F45," ","")&amp;",")),Catalogo!$H45&lt;&gt;"N"),"●","")</f>
        <v/>
      </c>
      <c r="M45" s="17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7">
        <f>IF(Catalogo!H46="","(vazio)",Catalogo!H46)</f>
        <v/>
      </c>
      <c r="D46" s="17">
        <f>IF(AND(ISNUMBER(SEARCH(","&amp;D$1&amp;",",","&amp;SUBSTITUTE(Catalogo!$F46," ","")&amp;",")),Catalogo!$H46&lt;&gt;"N"),"●","")</f>
        <v/>
      </c>
      <c r="E46" s="17">
        <f>IF(AND(ISNUMBER(SEARCH(","&amp;E$1&amp;",",","&amp;SUBSTITUTE(Catalogo!$F46," ","")&amp;",")),Catalogo!$H46&lt;&gt;"N"),"●","")</f>
        <v/>
      </c>
      <c r="F46" s="17">
        <f>IF(AND(ISNUMBER(SEARCH(","&amp;F$1&amp;",",","&amp;SUBSTITUTE(Catalogo!$F46," ","")&amp;",")),Catalogo!$H46&lt;&gt;"N"),"●","")</f>
        <v/>
      </c>
      <c r="G46" s="17">
        <f>IF(AND(ISNUMBER(SEARCH(","&amp;G$1&amp;",",","&amp;SUBSTITUTE(Catalogo!$F46," ","")&amp;",")),Catalogo!$H46&lt;&gt;"N"),"●","")</f>
        <v/>
      </c>
      <c r="H46" s="17">
        <f>IF(AND(ISNUMBER(SEARCH(","&amp;H$1&amp;",",","&amp;SUBSTITUTE(Catalogo!$F46," ","")&amp;",")),Catalogo!$H46&lt;&gt;"N"),"●","")</f>
        <v/>
      </c>
      <c r="I46" s="17">
        <f>IF(AND(ISNUMBER(SEARCH(","&amp;I$1&amp;",",","&amp;SUBSTITUTE(Catalogo!$F46," ","")&amp;",")),Catalogo!$H46&lt;&gt;"N"),"●","")</f>
        <v/>
      </c>
      <c r="J46" s="17">
        <f>IF(AND(ISNUMBER(SEARCH(","&amp;J$1&amp;",",","&amp;SUBSTITUTE(Catalogo!$F46," ","")&amp;",")),Catalogo!$H46&lt;&gt;"N"),"●","")</f>
        <v/>
      </c>
      <c r="K46" s="17">
        <f>IF(AND(ISNUMBER(SEARCH(","&amp;K$1&amp;",",","&amp;SUBSTITUTE(Catalogo!$F46," ","")&amp;",")),Catalogo!$H46&lt;&gt;"N"),"●","")</f>
        <v/>
      </c>
      <c r="L46" s="17">
        <f>IF(AND(ISNUMBER(SEARCH(","&amp;L$1&amp;",",","&amp;SUBSTITUTE(Catalogo!$F46," ","")&amp;",")),Catalogo!$H46&lt;&gt;"N"),"●","")</f>
        <v/>
      </c>
      <c r="M46" s="17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7">
        <f>IF(Catalogo!H47="","(vazio)",Catalogo!H47)</f>
        <v/>
      </c>
      <c r="D47" s="17">
        <f>IF(AND(ISNUMBER(SEARCH(","&amp;D$1&amp;",",","&amp;SUBSTITUTE(Catalogo!$F47," ","")&amp;",")),Catalogo!$H47&lt;&gt;"N"),"●","")</f>
        <v/>
      </c>
      <c r="E47" s="17">
        <f>IF(AND(ISNUMBER(SEARCH(","&amp;E$1&amp;",",","&amp;SUBSTITUTE(Catalogo!$F47," ","")&amp;",")),Catalogo!$H47&lt;&gt;"N"),"●","")</f>
        <v/>
      </c>
      <c r="F47" s="17">
        <f>IF(AND(ISNUMBER(SEARCH(","&amp;F$1&amp;",",","&amp;SUBSTITUTE(Catalogo!$F47," ","")&amp;",")),Catalogo!$H47&lt;&gt;"N"),"●","")</f>
        <v/>
      </c>
      <c r="G47" s="17">
        <f>IF(AND(ISNUMBER(SEARCH(","&amp;G$1&amp;",",","&amp;SUBSTITUTE(Catalogo!$F47," ","")&amp;",")),Catalogo!$H47&lt;&gt;"N"),"●","")</f>
        <v/>
      </c>
      <c r="H47" s="17">
        <f>IF(AND(ISNUMBER(SEARCH(","&amp;H$1&amp;",",","&amp;SUBSTITUTE(Catalogo!$F47," ","")&amp;",")),Catalogo!$H47&lt;&gt;"N"),"●","")</f>
        <v/>
      </c>
      <c r="I47" s="17">
        <f>IF(AND(ISNUMBER(SEARCH(","&amp;I$1&amp;",",","&amp;SUBSTITUTE(Catalogo!$F47," ","")&amp;",")),Catalogo!$H47&lt;&gt;"N"),"●","")</f>
        <v/>
      </c>
      <c r="J47" s="17">
        <f>IF(AND(ISNUMBER(SEARCH(","&amp;J$1&amp;",",","&amp;SUBSTITUTE(Catalogo!$F47," ","")&amp;",")),Catalogo!$H47&lt;&gt;"N"),"●","")</f>
        <v/>
      </c>
      <c r="K47" s="17">
        <f>IF(AND(ISNUMBER(SEARCH(","&amp;K$1&amp;",",","&amp;SUBSTITUTE(Catalogo!$F47," ","")&amp;",")),Catalogo!$H47&lt;&gt;"N"),"●","")</f>
        <v/>
      </c>
      <c r="L47" s="17">
        <f>IF(AND(ISNUMBER(SEARCH(","&amp;L$1&amp;",",","&amp;SUBSTITUTE(Catalogo!$F47," ","")&amp;",")),Catalogo!$H47&lt;&gt;"N"),"●","")</f>
        <v/>
      </c>
      <c r="M47" s="17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7">
        <f>IF(Catalogo!H48="","(vazio)",Catalogo!H48)</f>
        <v/>
      </c>
      <c r="D48" s="17">
        <f>IF(AND(ISNUMBER(SEARCH(","&amp;D$1&amp;",",","&amp;SUBSTITUTE(Catalogo!$F48," ","")&amp;",")),Catalogo!$H48&lt;&gt;"N"),"●","")</f>
        <v/>
      </c>
      <c r="E48" s="17">
        <f>IF(AND(ISNUMBER(SEARCH(","&amp;E$1&amp;",",","&amp;SUBSTITUTE(Catalogo!$F48," ","")&amp;",")),Catalogo!$H48&lt;&gt;"N"),"●","")</f>
        <v/>
      </c>
      <c r="F48" s="17">
        <f>IF(AND(ISNUMBER(SEARCH(","&amp;F$1&amp;",",","&amp;SUBSTITUTE(Catalogo!$F48," ","")&amp;",")),Catalogo!$H48&lt;&gt;"N"),"●","")</f>
        <v/>
      </c>
      <c r="G48" s="17">
        <f>IF(AND(ISNUMBER(SEARCH(","&amp;G$1&amp;",",","&amp;SUBSTITUTE(Catalogo!$F48," ","")&amp;",")),Catalogo!$H48&lt;&gt;"N"),"●","")</f>
        <v/>
      </c>
      <c r="H48" s="17">
        <f>IF(AND(ISNUMBER(SEARCH(","&amp;H$1&amp;",",","&amp;SUBSTITUTE(Catalogo!$F48," ","")&amp;",")),Catalogo!$H48&lt;&gt;"N"),"●","")</f>
        <v/>
      </c>
      <c r="I48" s="17">
        <f>IF(AND(ISNUMBER(SEARCH(","&amp;I$1&amp;",",","&amp;SUBSTITUTE(Catalogo!$F48," ","")&amp;",")),Catalogo!$H48&lt;&gt;"N"),"●","")</f>
        <v/>
      </c>
      <c r="J48" s="17">
        <f>IF(AND(ISNUMBER(SEARCH(","&amp;J$1&amp;",",","&amp;SUBSTITUTE(Catalogo!$F48," ","")&amp;",")),Catalogo!$H48&lt;&gt;"N"),"●","")</f>
        <v/>
      </c>
      <c r="K48" s="17">
        <f>IF(AND(ISNUMBER(SEARCH(","&amp;K$1&amp;",",","&amp;SUBSTITUTE(Catalogo!$F48," ","")&amp;",")),Catalogo!$H48&lt;&gt;"N"),"●","")</f>
        <v/>
      </c>
      <c r="L48" s="17">
        <f>IF(AND(ISNUMBER(SEARCH(","&amp;L$1&amp;",",","&amp;SUBSTITUTE(Catalogo!$F48," ","")&amp;",")),Catalogo!$H48&lt;&gt;"N"),"●","")</f>
        <v/>
      </c>
      <c r="M48" s="17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7">
        <f>IF(Catalogo!H49="","(vazio)",Catalogo!H49)</f>
        <v/>
      </c>
      <c r="D49" s="17">
        <f>IF(AND(ISNUMBER(SEARCH(","&amp;D$1&amp;",",","&amp;SUBSTITUTE(Catalogo!$F49," ","")&amp;",")),Catalogo!$H49&lt;&gt;"N"),"●","")</f>
        <v/>
      </c>
      <c r="E49" s="17">
        <f>IF(AND(ISNUMBER(SEARCH(","&amp;E$1&amp;",",","&amp;SUBSTITUTE(Catalogo!$F49," ","")&amp;",")),Catalogo!$H49&lt;&gt;"N"),"●","")</f>
        <v/>
      </c>
      <c r="F49" s="17">
        <f>IF(AND(ISNUMBER(SEARCH(","&amp;F$1&amp;",",","&amp;SUBSTITUTE(Catalogo!$F49," ","")&amp;",")),Catalogo!$H49&lt;&gt;"N"),"●","")</f>
        <v/>
      </c>
      <c r="G49" s="17">
        <f>IF(AND(ISNUMBER(SEARCH(","&amp;G$1&amp;",",","&amp;SUBSTITUTE(Catalogo!$F49," ","")&amp;",")),Catalogo!$H49&lt;&gt;"N"),"●","")</f>
        <v/>
      </c>
      <c r="H49" s="17">
        <f>IF(AND(ISNUMBER(SEARCH(","&amp;H$1&amp;",",","&amp;SUBSTITUTE(Catalogo!$F49," ","")&amp;",")),Catalogo!$H49&lt;&gt;"N"),"●","")</f>
        <v/>
      </c>
      <c r="I49" s="17">
        <f>IF(AND(ISNUMBER(SEARCH(","&amp;I$1&amp;",",","&amp;SUBSTITUTE(Catalogo!$F49," ","")&amp;",")),Catalogo!$H49&lt;&gt;"N"),"●","")</f>
        <v/>
      </c>
      <c r="J49" s="17">
        <f>IF(AND(ISNUMBER(SEARCH(","&amp;J$1&amp;",",","&amp;SUBSTITUTE(Catalogo!$F49," ","")&amp;",")),Catalogo!$H49&lt;&gt;"N"),"●","")</f>
        <v/>
      </c>
      <c r="K49" s="17">
        <f>IF(AND(ISNUMBER(SEARCH(","&amp;K$1&amp;",",","&amp;SUBSTITUTE(Catalogo!$F49," ","")&amp;",")),Catalogo!$H49&lt;&gt;"N"),"●","")</f>
        <v/>
      </c>
      <c r="L49" s="17">
        <f>IF(AND(ISNUMBER(SEARCH(","&amp;L$1&amp;",",","&amp;SUBSTITUTE(Catalogo!$F49," ","")&amp;",")),Catalogo!$H49&lt;&gt;"N"),"●","")</f>
        <v/>
      </c>
      <c r="M49" s="17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7">
        <f>IF(Catalogo!H50="","(vazio)",Catalogo!H50)</f>
        <v/>
      </c>
      <c r="D50" s="17">
        <f>IF(AND(ISNUMBER(SEARCH(","&amp;D$1&amp;",",","&amp;SUBSTITUTE(Catalogo!$F50," ","")&amp;",")),Catalogo!$H50&lt;&gt;"N"),"●","")</f>
        <v/>
      </c>
      <c r="E50" s="17">
        <f>IF(AND(ISNUMBER(SEARCH(","&amp;E$1&amp;",",","&amp;SUBSTITUTE(Catalogo!$F50," ","")&amp;",")),Catalogo!$H50&lt;&gt;"N"),"●","")</f>
        <v/>
      </c>
      <c r="F50" s="17">
        <f>IF(AND(ISNUMBER(SEARCH(","&amp;F$1&amp;",",","&amp;SUBSTITUTE(Catalogo!$F50," ","")&amp;",")),Catalogo!$H50&lt;&gt;"N"),"●","")</f>
        <v/>
      </c>
      <c r="G50" s="17">
        <f>IF(AND(ISNUMBER(SEARCH(","&amp;G$1&amp;",",","&amp;SUBSTITUTE(Catalogo!$F50," ","")&amp;",")),Catalogo!$H50&lt;&gt;"N"),"●","")</f>
        <v/>
      </c>
      <c r="H50" s="17">
        <f>IF(AND(ISNUMBER(SEARCH(","&amp;H$1&amp;",",","&amp;SUBSTITUTE(Catalogo!$F50," ","")&amp;",")),Catalogo!$H50&lt;&gt;"N"),"●","")</f>
        <v/>
      </c>
      <c r="I50" s="17">
        <f>IF(AND(ISNUMBER(SEARCH(","&amp;I$1&amp;",",","&amp;SUBSTITUTE(Catalogo!$F50," ","")&amp;",")),Catalogo!$H50&lt;&gt;"N"),"●","")</f>
        <v/>
      </c>
      <c r="J50" s="17">
        <f>IF(AND(ISNUMBER(SEARCH(","&amp;J$1&amp;",",","&amp;SUBSTITUTE(Catalogo!$F50," ","")&amp;",")),Catalogo!$H50&lt;&gt;"N"),"●","")</f>
        <v/>
      </c>
      <c r="K50" s="17">
        <f>IF(AND(ISNUMBER(SEARCH(","&amp;K$1&amp;",",","&amp;SUBSTITUTE(Catalogo!$F50," ","")&amp;",")),Catalogo!$H50&lt;&gt;"N"),"●","")</f>
        <v/>
      </c>
      <c r="L50" s="17">
        <f>IF(AND(ISNUMBER(SEARCH(","&amp;L$1&amp;",",","&amp;SUBSTITUTE(Catalogo!$F50," ","")&amp;",")),Catalogo!$H50&lt;&gt;"N"),"●","")</f>
        <v/>
      </c>
      <c r="M50" s="17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7">
        <f>IF(Catalogo!H51="","(vazio)",Catalogo!H51)</f>
        <v/>
      </c>
      <c r="D51" s="17">
        <f>IF(AND(ISNUMBER(SEARCH(","&amp;D$1&amp;",",","&amp;SUBSTITUTE(Catalogo!$F51," ","")&amp;",")),Catalogo!$H51&lt;&gt;"N"),"●","")</f>
        <v/>
      </c>
      <c r="E51" s="17">
        <f>IF(AND(ISNUMBER(SEARCH(","&amp;E$1&amp;",",","&amp;SUBSTITUTE(Catalogo!$F51," ","")&amp;",")),Catalogo!$H51&lt;&gt;"N"),"●","")</f>
        <v/>
      </c>
      <c r="F51" s="17">
        <f>IF(AND(ISNUMBER(SEARCH(","&amp;F$1&amp;",",","&amp;SUBSTITUTE(Catalogo!$F51," ","")&amp;",")),Catalogo!$H51&lt;&gt;"N"),"●","")</f>
        <v/>
      </c>
      <c r="G51" s="17">
        <f>IF(AND(ISNUMBER(SEARCH(","&amp;G$1&amp;",",","&amp;SUBSTITUTE(Catalogo!$F51," ","")&amp;",")),Catalogo!$H51&lt;&gt;"N"),"●","")</f>
        <v/>
      </c>
      <c r="H51" s="17">
        <f>IF(AND(ISNUMBER(SEARCH(","&amp;H$1&amp;",",","&amp;SUBSTITUTE(Catalogo!$F51," ","")&amp;",")),Catalogo!$H51&lt;&gt;"N"),"●","")</f>
        <v/>
      </c>
      <c r="I51" s="17">
        <f>IF(AND(ISNUMBER(SEARCH(","&amp;I$1&amp;",",","&amp;SUBSTITUTE(Catalogo!$F51," ","")&amp;",")),Catalogo!$H51&lt;&gt;"N"),"●","")</f>
        <v/>
      </c>
      <c r="J51" s="17">
        <f>IF(AND(ISNUMBER(SEARCH(","&amp;J$1&amp;",",","&amp;SUBSTITUTE(Catalogo!$F51," ","")&amp;",")),Catalogo!$H51&lt;&gt;"N"),"●","")</f>
        <v/>
      </c>
      <c r="K51" s="17">
        <f>IF(AND(ISNUMBER(SEARCH(","&amp;K$1&amp;",",","&amp;SUBSTITUTE(Catalogo!$F51," ","")&amp;",")),Catalogo!$H51&lt;&gt;"N"),"●","")</f>
        <v/>
      </c>
      <c r="L51" s="17">
        <f>IF(AND(ISNUMBER(SEARCH(","&amp;L$1&amp;",",","&amp;SUBSTITUTE(Catalogo!$F51," ","")&amp;",")),Catalogo!$H51&lt;&gt;"N"),"●","")</f>
        <v/>
      </c>
      <c r="M51" s="17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7">
        <f>IF(Catalogo!H52="","(vazio)",Catalogo!H52)</f>
        <v/>
      </c>
      <c r="D52" s="17">
        <f>IF(AND(ISNUMBER(SEARCH(","&amp;D$1&amp;",",","&amp;SUBSTITUTE(Catalogo!$F52," ","")&amp;",")),Catalogo!$H52&lt;&gt;"N"),"●","")</f>
        <v/>
      </c>
      <c r="E52" s="17">
        <f>IF(AND(ISNUMBER(SEARCH(","&amp;E$1&amp;",",","&amp;SUBSTITUTE(Catalogo!$F52," ","")&amp;",")),Catalogo!$H52&lt;&gt;"N"),"●","")</f>
        <v/>
      </c>
      <c r="F52" s="17">
        <f>IF(AND(ISNUMBER(SEARCH(","&amp;F$1&amp;",",","&amp;SUBSTITUTE(Catalogo!$F52," ","")&amp;",")),Catalogo!$H52&lt;&gt;"N"),"●","")</f>
        <v/>
      </c>
      <c r="G52" s="17">
        <f>IF(AND(ISNUMBER(SEARCH(","&amp;G$1&amp;",",","&amp;SUBSTITUTE(Catalogo!$F52," ","")&amp;",")),Catalogo!$H52&lt;&gt;"N"),"●","")</f>
        <v/>
      </c>
      <c r="H52" s="17">
        <f>IF(AND(ISNUMBER(SEARCH(","&amp;H$1&amp;",",","&amp;SUBSTITUTE(Catalogo!$F52," ","")&amp;",")),Catalogo!$H52&lt;&gt;"N"),"●","")</f>
        <v/>
      </c>
      <c r="I52" s="17">
        <f>IF(AND(ISNUMBER(SEARCH(","&amp;I$1&amp;",",","&amp;SUBSTITUTE(Catalogo!$F52," ","")&amp;",")),Catalogo!$H52&lt;&gt;"N"),"●","")</f>
        <v/>
      </c>
      <c r="J52" s="17">
        <f>IF(AND(ISNUMBER(SEARCH(","&amp;J$1&amp;",",","&amp;SUBSTITUTE(Catalogo!$F52," ","")&amp;",")),Catalogo!$H52&lt;&gt;"N"),"●","")</f>
        <v/>
      </c>
      <c r="K52" s="17">
        <f>IF(AND(ISNUMBER(SEARCH(","&amp;K$1&amp;",",","&amp;SUBSTITUTE(Catalogo!$F52," ","")&amp;",")),Catalogo!$H52&lt;&gt;"N"),"●","")</f>
        <v/>
      </c>
      <c r="L52" s="17">
        <f>IF(AND(ISNUMBER(SEARCH(","&amp;L$1&amp;",",","&amp;SUBSTITUTE(Catalogo!$F52," ","")&amp;",")),Catalogo!$H52&lt;&gt;"N"),"●","")</f>
        <v/>
      </c>
      <c r="M52" s="17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7">
        <f>IF(Catalogo!H53="","(vazio)",Catalogo!H53)</f>
        <v/>
      </c>
      <c r="D53" s="17">
        <f>IF(AND(ISNUMBER(SEARCH(","&amp;D$1&amp;",",","&amp;SUBSTITUTE(Catalogo!$F53," ","")&amp;",")),Catalogo!$H53&lt;&gt;"N"),"●","")</f>
        <v/>
      </c>
      <c r="E53" s="17">
        <f>IF(AND(ISNUMBER(SEARCH(","&amp;E$1&amp;",",","&amp;SUBSTITUTE(Catalogo!$F53," ","")&amp;",")),Catalogo!$H53&lt;&gt;"N"),"●","")</f>
        <v/>
      </c>
      <c r="F53" s="17">
        <f>IF(AND(ISNUMBER(SEARCH(","&amp;F$1&amp;",",","&amp;SUBSTITUTE(Catalogo!$F53," ","")&amp;",")),Catalogo!$H53&lt;&gt;"N"),"●","")</f>
        <v/>
      </c>
      <c r="G53" s="17">
        <f>IF(AND(ISNUMBER(SEARCH(","&amp;G$1&amp;",",","&amp;SUBSTITUTE(Catalogo!$F53," ","")&amp;",")),Catalogo!$H53&lt;&gt;"N"),"●","")</f>
        <v/>
      </c>
      <c r="H53" s="17">
        <f>IF(AND(ISNUMBER(SEARCH(","&amp;H$1&amp;",",","&amp;SUBSTITUTE(Catalogo!$F53," ","")&amp;",")),Catalogo!$H53&lt;&gt;"N"),"●","")</f>
        <v/>
      </c>
      <c r="I53" s="17">
        <f>IF(AND(ISNUMBER(SEARCH(","&amp;I$1&amp;",",","&amp;SUBSTITUTE(Catalogo!$F53," ","")&amp;",")),Catalogo!$H53&lt;&gt;"N"),"●","")</f>
        <v/>
      </c>
      <c r="J53" s="17">
        <f>IF(AND(ISNUMBER(SEARCH(","&amp;J$1&amp;",",","&amp;SUBSTITUTE(Catalogo!$F53," ","")&amp;",")),Catalogo!$H53&lt;&gt;"N"),"●","")</f>
        <v/>
      </c>
      <c r="K53" s="17">
        <f>IF(AND(ISNUMBER(SEARCH(","&amp;K$1&amp;",",","&amp;SUBSTITUTE(Catalogo!$F53," ","")&amp;",")),Catalogo!$H53&lt;&gt;"N"),"●","")</f>
        <v/>
      </c>
      <c r="L53" s="17">
        <f>IF(AND(ISNUMBER(SEARCH(","&amp;L$1&amp;",",","&amp;SUBSTITUTE(Catalogo!$F53," ","")&amp;",")),Catalogo!$H53&lt;&gt;"N"),"●","")</f>
        <v/>
      </c>
      <c r="M53" s="17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7">
        <f>IF(Catalogo!H54="","(vazio)",Catalogo!H54)</f>
        <v/>
      </c>
      <c r="D54" s="17">
        <f>IF(AND(ISNUMBER(SEARCH(","&amp;D$1&amp;",",","&amp;SUBSTITUTE(Catalogo!$F54," ","")&amp;",")),Catalogo!$H54&lt;&gt;"N"),"●","")</f>
        <v/>
      </c>
      <c r="E54" s="17">
        <f>IF(AND(ISNUMBER(SEARCH(","&amp;E$1&amp;",",","&amp;SUBSTITUTE(Catalogo!$F54," ","")&amp;",")),Catalogo!$H54&lt;&gt;"N"),"●","")</f>
        <v/>
      </c>
      <c r="F54" s="17">
        <f>IF(AND(ISNUMBER(SEARCH(","&amp;F$1&amp;",",","&amp;SUBSTITUTE(Catalogo!$F54," ","")&amp;",")),Catalogo!$H54&lt;&gt;"N"),"●","")</f>
        <v/>
      </c>
      <c r="G54" s="17">
        <f>IF(AND(ISNUMBER(SEARCH(","&amp;G$1&amp;",",","&amp;SUBSTITUTE(Catalogo!$F54," ","")&amp;",")),Catalogo!$H54&lt;&gt;"N"),"●","")</f>
        <v/>
      </c>
      <c r="H54" s="17">
        <f>IF(AND(ISNUMBER(SEARCH(","&amp;H$1&amp;",",","&amp;SUBSTITUTE(Catalogo!$F54," ","")&amp;",")),Catalogo!$H54&lt;&gt;"N"),"●","")</f>
        <v/>
      </c>
      <c r="I54" s="17">
        <f>IF(AND(ISNUMBER(SEARCH(","&amp;I$1&amp;",",","&amp;SUBSTITUTE(Catalogo!$F54," ","")&amp;",")),Catalogo!$H54&lt;&gt;"N"),"●","")</f>
        <v/>
      </c>
      <c r="J54" s="17">
        <f>IF(AND(ISNUMBER(SEARCH(","&amp;J$1&amp;",",","&amp;SUBSTITUTE(Catalogo!$F54," ","")&amp;",")),Catalogo!$H54&lt;&gt;"N"),"●","")</f>
        <v/>
      </c>
      <c r="K54" s="17">
        <f>IF(AND(ISNUMBER(SEARCH(","&amp;K$1&amp;",",","&amp;SUBSTITUTE(Catalogo!$F54," ","")&amp;",")),Catalogo!$H54&lt;&gt;"N"),"●","")</f>
        <v/>
      </c>
      <c r="L54" s="17">
        <f>IF(AND(ISNUMBER(SEARCH(","&amp;L$1&amp;",",","&amp;SUBSTITUTE(Catalogo!$F54," ","")&amp;",")),Catalogo!$H54&lt;&gt;"N"),"●","")</f>
        <v/>
      </c>
      <c r="M54" s="17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7">
        <f>IF(Catalogo!H55="","(vazio)",Catalogo!H55)</f>
        <v/>
      </c>
      <c r="D55" s="17">
        <f>IF(AND(ISNUMBER(SEARCH(","&amp;D$1&amp;",",","&amp;SUBSTITUTE(Catalogo!$F55," ","")&amp;",")),Catalogo!$H55&lt;&gt;"N"),"●","")</f>
        <v/>
      </c>
      <c r="E55" s="17">
        <f>IF(AND(ISNUMBER(SEARCH(","&amp;E$1&amp;",",","&amp;SUBSTITUTE(Catalogo!$F55," ","")&amp;",")),Catalogo!$H55&lt;&gt;"N"),"●","")</f>
        <v/>
      </c>
      <c r="F55" s="17">
        <f>IF(AND(ISNUMBER(SEARCH(","&amp;F$1&amp;",",","&amp;SUBSTITUTE(Catalogo!$F55," ","")&amp;",")),Catalogo!$H55&lt;&gt;"N"),"●","")</f>
        <v/>
      </c>
      <c r="G55" s="17">
        <f>IF(AND(ISNUMBER(SEARCH(","&amp;G$1&amp;",",","&amp;SUBSTITUTE(Catalogo!$F55," ","")&amp;",")),Catalogo!$H55&lt;&gt;"N"),"●","")</f>
        <v/>
      </c>
      <c r="H55" s="17">
        <f>IF(AND(ISNUMBER(SEARCH(","&amp;H$1&amp;",",","&amp;SUBSTITUTE(Catalogo!$F55," ","")&amp;",")),Catalogo!$H55&lt;&gt;"N"),"●","")</f>
        <v/>
      </c>
      <c r="I55" s="17">
        <f>IF(AND(ISNUMBER(SEARCH(","&amp;I$1&amp;",",","&amp;SUBSTITUTE(Catalogo!$F55," ","")&amp;",")),Catalogo!$H55&lt;&gt;"N"),"●","")</f>
        <v/>
      </c>
      <c r="J55" s="17">
        <f>IF(AND(ISNUMBER(SEARCH(","&amp;J$1&amp;",",","&amp;SUBSTITUTE(Catalogo!$F55," ","")&amp;",")),Catalogo!$H55&lt;&gt;"N"),"●","")</f>
        <v/>
      </c>
      <c r="K55" s="17">
        <f>IF(AND(ISNUMBER(SEARCH(","&amp;K$1&amp;",",","&amp;SUBSTITUTE(Catalogo!$F55," ","")&amp;",")),Catalogo!$H55&lt;&gt;"N"),"●","")</f>
        <v/>
      </c>
      <c r="L55" s="17">
        <f>IF(AND(ISNUMBER(SEARCH(","&amp;L$1&amp;",",","&amp;SUBSTITUTE(Catalogo!$F55," ","")&amp;",")),Catalogo!$H55&lt;&gt;"N"),"●","")</f>
        <v/>
      </c>
      <c r="M55" s="17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7">
        <f>IF(Catalogo!H56="","(vazio)",Catalogo!H56)</f>
        <v/>
      </c>
      <c r="D56" s="17">
        <f>IF(AND(ISNUMBER(SEARCH(","&amp;D$1&amp;",",","&amp;SUBSTITUTE(Catalogo!$F56," ","")&amp;",")),Catalogo!$H56&lt;&gt;"N"),"●","")</f>
        <v/>
      </c>
      <c r="E56" s="17">
        <f>IF(AND(ISNUMBER(SEARCH(","&amp;E$1&amp;",",","&amp;SUBSTITUTE(Catalogo!$F56," ","")&amp;",")),Catalogo!$H56&lt;&gt;"N"),"●","")</f>
        <v/>
      </c>
      <c r="F56" s="17">
        <f>IF(AND(ISNUMBER(SEARCH(","&amp;F$1&amp;",",","&amp;SUBSTITUTE(Catalogo!$F56," ","")&amp;",")),Catalogo!$H56&lt;&gt;"N"),"●","")</f>
        <v/>
      </c>
      <c r="G56" s="17">
        <f>IF(AND(ISNUMBER(SEARCH(","&amp;G$1&amp;",",","&amp;SUBSTITUTE(Catalogo!$F56," ","")&amp;",")),Catalogo!$H56&lt;&gt;"N"),"●","")</f>
        <v/>
      </c>
      <c r="H56" s="17">
        <f>IF(AND(ISNUMBER(SEARCH(","&amp;H$1&amp;",",","&amp;SUBSTITUTE(Catalogo!$F56," ","")&amp;",")),Catalogo!$H56&lt;&gt;"N"),"●","")</f>
        <v/>
      </c>
      <c r="I56" s="17">
        <f>IF(AND(ISNUMBER(SEARCH(","&amp;I$1&amp;",",","&amp;SUBSTITUTE(Catalogo!$F56," ","")&amp;",")),Catalogo!$H56&lt;&gt;"N"),"●","")</f>
        <v/>
      </c>
      <c r="J56" s="17">
        <f>IF(AND(ISNUMBER(SEARCH(","&amp;J$1&amp;",",","&amp;SUBSTITUTE(Catalogo!$F56," ","")&amp;",")),Catalogo!$H56&lt;&gt;"N"),"●","")</f>
        <v/>
      </c>
      <c r="K56" s="17">
        <f>IF(AND(ISNUMBER(SEARCH(","&amp;K$1&amp;",",","&amp;SUBSTITUTE(Catalogo!$F56," ","")&amp;",")),Catalogo!$H56&lt;&gt;"N"),"●","")</f>
        <v/>
      </c>
      <c r="L56" s="17">
        <f>IF(AND(ISNUMBER(SEARCH(","&amp;L$1&amp;",",","&amp;SUBSTITUTE(Catalogo!$F56," ","")&amp;",")),Catalogo!$H56&lt;&gt;"N"),"●","")</f>
        <v/>
      </c>
      <c r="M56" s="17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7">
        <f>IF(Catalogo!H57="","(vazio)",Catalogo!H57)</f>
        <v/>
      </c>
      <c r="D57" s="17">
        <f>IF(AND(ISNUMBER(SEARCH(","&amp;D$1&amp;",",","&amp;SUBSTITUTE(Catalogo!$F57," ","")&amp;",")),Catalogo!$H57&lt;&gt;"N"),"●","")</f>
        <v/>
      </c>
      <c r="E57" s="17">
        <f>IF(AND(ISNUMBER(SEARCH(","&amp;E$1&amp;",",","&amp;SUBSTITUTE(Catalogo!$F57," ","")&amp;",")),Catalogo!$H57&lt;&gt;"N"),"●","")</f>
        <v/>
      </c>
      <c r="F57" s="17">
        <f>IF(AND(ISNUMBER(SEARCH(","&amp;F$1&amp;",",","&amp;SUBSTITUTE(Catalogo!$F57," ","")&amp;",")),Catalogo!$H57&lt;&gt;"N"),"●","")</f>
        <v/>
      </c>
      <c r="G57" s="17">
        <f>IF(AND(ISNUMBER(SEARCH(","&amp;G$1&amp;",",","&amp;SUBSTITUTE(Catalogo!$F57," ","")&amp;",")),Catalogo!$H57&lt;&gt;"N"),"●","")</f>
        <v/>
      </c>
      <c r="H57" s="17">
        <f>IF(AND(ISNUMBER(SEARCH(","&amp;H$1&amp;",",","&amp;SUBSTITUTE(Catalogo!$F57," ","")&amp;",")),Catalogo!$H57&lt;&gt;"N"),"●","")</f>
        <v/>
      </c>
      <c r="I57" s="17">
        <f>IF(AND(ISNUMBER(SEARCH(","&amp;I$1&amp;",",","&amp;SUBSTITUTE(Catalogo!$F57," ","")&amp;",")),Catalogo!$H57&lt;&gt;"N"),"●","")</f>
        <v/>
      </c>
      <c r="J57" s="17">
        <f>IF(AND(ISNUMBER(SEARCH(","&amp;J$1&amp;",",","&amp;SUBSTITUTE(Catalogo!$F57," ","")&amp;",")),Catalogo!$H57&lt;&gt;"N"),"●","")</f>
        <v/>
      </c>
      <c r="K57" s="17">
        <f>IF(AND(ISNUMBER(SEARCH(","&amp;K$1&amp;",",","&amp;SUBSTITUTE(Catalogo!$F57," ","")&amp;",")),Catalogo!$H57&lt;&gt;"N"),"●","")</f>
        <v/>
      </c>
      <c r="L57" s="17">
        <f>IF(AND(ISNUMBER(SEARCH(","&amp;L$1&amp;",",","&amp;SUBSTITUTE(Catalogo!$F57," ","")&amp;",")),Catalogo!$H57&lt;&gt;"N"),"●","")</f>
        <v/>
      </c>
      <c r="M57" s="17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7">
        <f>IF(Catalogo!H58="","(vazio)",Catalogo!H58)</f>
        <v/>
      </c>
      <c r="D58" s="17">
        <f>IF(AND(ISNUMBER(SEARCH(","&amp;D$1&amp;",",","&amp;SUBSTITUTE(Catalogo!$F58," ","")&amp;",")),Catalogo!$H58&lt;&gt;"N"),"●","")</f>
        <v/>
      </c>
      <c r="E58" s="17">
        <f>IF(AND(ISNUMBER(SEARCH(","&amp;E$1&amp;",",","&amp;SUBSTITUTE(Catalogo!$F58," ","")&amp;",")),Catalogo!$H58&lt;&gt;"N"),"●","")</f>
        <v/>
      </c>
      <c r="F58" s="17">
        <f>IF(AND(ISNUMBER(SEARCH(","&amp;F$1&amp;",",","&amp;SUBSTITUTE(Catalogo!$F58," ","")&amp;",")),Catalogo!$H58&lt;&gt;"N"),"●","")</f>
        <v/>
      </c>
      <c r="G58" s="17">
        <f>IF(AND(ISNUMBER(SEARCH(","&amp;G$1&amp;",",","&amp;SUBSTITUTE(Catalogo!$F58," ","")&amp;",")),Catalogo!$H58&lt;&gt;"N"),"●","")</f>
        <v/>
      </c>
      <c r="H58" s="17">
        <f>IF(AND(ISNUMBER(SEARCH(","&amp;H$1&amp;",",","&amp;SUBSTITUTE(Catalogo!$F58," ","")&amp;",")),Catalogo!$H58&lt;&gt;"N"),"●","")</f>
        <v/>
      </c>
      <c r="I58" s="17">
        <f>IF(AND(ISNUMBER(SEARCH(","&amp;I$1&amp;",",","&amp;SUBSTITUTE(Catalogo!$F58," ","")&amp;",")),Catalogo!$H58&lt;&gt;"N"),"●","")</f>
        <v/>
      </c>
      <c r="J58" s="17">
        <f>IF(AND(ISNUMBER(SEARCH(","&amp;J$1&amp;",",","&amp;SUBSTITUTE(Catalogo!$F58," ","")&amp;",")),Catalogo!$H58&lt;&gt;"N"),"●","")</f>
        <v/>
      </c>
      <c r="K58" s="17">
        <f>IF(AND(ISNUMBER(SEARCH(","&amp;K$1&amp;",",","&amp;SUBSTITUTE(Catalogo!$F58," ","")&amp;",")),Catalogo!$H58&lt;&gt;"N"),"●","")</f>
        <v/>
      </c>
      <c r="L58" s="17">
        <f>IF(AND(ISNUMBER(SEARCH(","&amp;L$1&amp;",",","&amp;SUBSTITUTE(Catalogo!$F58," ","")&amp;",")),Catalogo!$H58&lt;&gt;"N"),"●","")</f>
        <v/>
      </c>
      <c r="M58" s="17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7">
        <f>IF(Catalogo!H59="","(vazio)",Catalogo!H59)</f>
        <v/>
      </c>
      <c r="D59" s="17">
        <f>IF(AND(ISNUMBER(SEARCH(","&amp;D$1&amp;",",","&amp;SUBSTITUTE(Catalogo!$F59," ","")&amp;",")),Catalogo!$H59&lt;&gt;"N"),"●","")</f>
        <v/>
      </c>
      <c r="E59" s="17">
        <f>IF(AND(ISNUMBER(SEARCH(","&amp;E$1&amp;",",","&amp;SUBSTITUTE(Catalogo!$F59," ","")&amp;",")),Catalogo!$H59&lt;&gt;"N"),"●","")</f>
        <v/>
      </c>
      <c r="F59" s="17">
        <f>IF(AND(ISNUMBER(SEARCH(","&amp;F$1&amp;",",","&amp;SUBSTITUTE(Catalogo!$F59," ","")&amp;",")),Catalogo!$H59&lt;&gt;"N"),"●","")</f>
        <v/>
      </c>
      <c r="G59" s="17">
        <f>IF(AND(ISNUMBER(SEARCH(","&amp;G$1&amp;",",","&amp;SUBSTITUTE(Catalogo!$F59," ","")&amp;",")),Catalogo!$H59&lt;&gt;"N"),"●","")</f>
        <v/>
      </c>
      <c r="H59" s="17">
        <f>IF(AND(ISNUMBER(SEARCH(","&amp;H$1&amp;",",","&amp;SUBSTITUTE(Catalogo!$F59," ","")&amp;",")),Catalogo!$H59&lt;&gt;"N"),"●","")</f>
        <v/>
      </c>
      <c r="I59" s="17">
        <f>IF(AND(ISNUMBER(SEARCH(","&amp;I$1&amp;",",","&amp;SUBSTITUTE(Catalogo!$F59," ","")&amp;",")),Catalogo!$H59&lt;&gt;"N"),"●","")</f>
        <v/>
      </c>
      <c r="J59" s="17">
        <f>IF(AND(ISNUMBER(SEARCH(","&amp;J$1&amp;",",","&amp;SUBSTITUTE(Catalogo!$F59," ","")&amp;",")),Catalogo!$H59&lt;&gt;"N"),"●","")</f>
        <v/>
      </c>
      <c r="K59" s="17">
        <f>IF(AND(ISNUMBER(SEARCH(","&amp;K$1&amp;",",","&amp;SUBSTITUTE(Catalogo!$F59," ","")&amp;",")),Catalogo!$H59&lt;&gt;"N"),"●","")</f>
        <v/>
      </c>
      <c r="L59" s="17">
        <f>IF(AND(ISNUMBER(SEARCH(","&amp;L$1&amp;",",","&amp;SUBSTITUTE(Catalogo!$F59," ","")&amp;",")),Catalogo!$H59&lt;&gt;"N"),"●","")</f>
        <v/>
      </c>
      <c r="M59" s="17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7">
        <f>IF(Catalogo!H60="","(vazio)",Catalogo!H60)</f>
        <v/>
      </c>
      <c r="D60" s="17">
        <f>IF(AND(ISNUMBER(SEARCH(","&amp;D$1&amp;",",","&amp;SUBSTITUTE(Catalogo!$F60," ","")&amp;",")),Catalogo!$H60&lt;&gt;"N"),"●","")</f>
        <v/>
      </c>
      <c r="E60" s="17">
        <f>IF(AND(ISNUMBER(SEARCH(","&amp;E$1&amp;",",","&amp;SUBSTITUTE(Catalogo!$F60," ","")&amp;",")),Catalogo!$H60&lt;&gt;"N"),"●","")</f>
        <v/>
      </c>
      <c r="F60" s="17">
        <f>IF(AND(ISNUMBER(SEARCH(","&amp;F$1&amp;",",","&amp;SUBSTITUTE(Catalogo!$F60," ","")&amp;",")),Catalogo!$H60&lt;&gt;"N"),"●","")</f>
        <v/>
      </c>
      <c r="G60" s="17">
        <f>IF(AND(ISNUMBER(SEARCH(","&amp;G$1&amp;",",","&amp;SUBSTITUTE(Catalogo!$F60," ","")&amp;",")),Catalogo!$H60&lt;&gt;"N"),"●","")</f>
        <v/>
      </c>
      <c r="H60" s="17">
        <f>IF(AND(ISNUMBER(SEARCH(","&amp;H$1&amp;",",","&amp;SUBSTITUTE(Catalogo!$F60," ","")&amp;",")),Catalogo!$H60&lt;&gt;"N"),"●","")</f>
        <v/>
      </c>
      <c r="I60" s="17">
        <f>IF(AND(ISNUMBER(SEARCH(","&amp;I$1&amp;",",","&amp;SUBSTITUTE(Catalogo!$F60," ","")&amp;",")),Catalogo!$H60&lt;&gt;"N"),"●","")</f>
        <v/>
      </c>
      <c r="J60" s="17">
        <f>IF(AND(ISNUMBER(SEARCH(","&amp;J$1&amp;",",","&amp;SUBSTITUTE(Catalogo!$F60," ","")&amp;",")),Catalogo!$H60&lt;&gt;"N"),"●","")</f>
        <v/>
      </c>
      <c r="K60" s="17">
        <f>IF(AND(ISNUMBER(SEARCH(","&amp;K$1&amp;",",","&amp;SUBSTITUTE(Catalogo!$F60," ","")&amp;",")),Catalogo!$H60&lt;&gt;"N"),"●","")</f>
        <v/>
      </c>
      <c r="L60" s="17">
        <f>IF(AND(ISNUMBER(SEARCH(","&amp;L$1&amp;",",","&amp;SUBSTITUTE(Catalogo!$F60," ","")&amp;",")),Catalogo!$H60&lt;&gt;"N"),"●","")</f>
        <v/>
      </c>
      <c r="M60" s="17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7">
        <f>IF(Catalogo!H61="","(vazio)",Catalogo!H61)</f>
        <v/>
      </c>
      <c r="D61" s="17">
        <f>IF(AND(ISNUMBER(SEARCH(","&amp;D$1&amp;",",","&amp;SUBSTITUTE(Catalogo!$F61," ","")&amp;",")),Catalogo!$H61&lt;&gt;"N"),"●","")</f>
        <v/>
      </c>
      <c r="E61" s="17">
        <f>IF(AND(ISNUMBER(SEARCH(","&amp;E$1&amp;",",","&amp;SUBSTITUTE(Catalogo!$F61," ","")&amp;",")),Catalogo!$H61&lt;&gt;"N"),"●","")</f>
        <v/>
      </c>
      <c r="F61" s="17">
        <f>IF(AND(ISNUMBER(SEARCH(","&amp;F$1&amp;",",","&amp;SUBSTITUTE(Catalogo!$F61," ","")&amp;",")),Catalogo!$H61&lt;&gt;"N"),"●","")</f>
        <v/>
      </c>
      <c r="G61" s="17">
        <f>IF(AND(ISNUMBER(SEARCH(","&amp;G$1&amp;",",","&amp;SUBSTITUTE(Catalogo!$F61," ","")&amp;",")),Catalogo!$H61&lt;&gt;"N"),"●","")</f>
        <v/>
      </c>
      <c r="H61" s="17">
        <f>IF(AND(ISNUMBER(SEARCH(","&amp;H$1&amp;",",","&amp;SUBSTITUTE(Catalogo!$F61," ","")&amp;",")),Catalogo!$H61&lt;&gt;"N"),"●","")</f>
        <v/>
      </c>
      <c r="I61" s="17">
        <f>IF(AND(ISNUMBER(SEARCH(","&amp;I$1&amp;",",","&amp;SUBSTITUTE(Catalogo!$F61," ","")&amp;",")),Catalogo!$H61&lt;&gt;"N"),"●","")</f>
        <v/>
      </c>
      <c r="J61" s="17">
        <f>IF(AND(ISNUMBER(SEARCH(","&amp;J$1&amp;",",","&amp;SUBSTITUTE(Catalogo!$F61," ","")&amp;",")),Catalogo!$H61&lt;&gt;"N"),"●","")</f>
        <v/>
      </c>
      <c r="K61" s="17">
        <f>IF(AND(ISNUMBER(SEARCH(","&amp;K$1&amp;",",","&amp;SUBSTITUTE(Catalogo!$F61," ","")&amp;",")),Catalogo!$H61&lt;&gt;"N"),"●","")</f>
        <v/>
      </c>
      <c r="L61" s="17">
        <f>IF(AND(ISNUMBER(SEARCH(","&amp;L$1&amp;",",","&amp;SUBSTITUTE(Catalogo!$F61," ","")&amp;",")),Catalogo!$H61&lt;&gt;"N"),"●","")</f>
        <v/>
      </c>
      <c r="M61" s="17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7">
        <f>IF(Catalogo!H62="","(vazio)",Catalogo!H62)</f>
        <v/>
      </c>
      <c r="D62" s="17">
        <f>IF(AND(ISNUMBER(SEARCH(","&amp;D$1&amp;",",","&amp;SUBSTITUTE(Catalogo!$F62," ","")&amp;",")),Catalogo!$H62&lt;&gt;"N"),"●","")</f>
        <v/>
      </c>
      <c r="E62" s="17">
        <f>IF(AND(ISNUMBER(SEARCH(","&amp;E$1&amp;",",","&amp;SUBSTITUTE(Catalogo!$F62," ","")&amp;",")),Catalogo!$H62&lt;&gt;"N"),"●","")</f>
        <v/>
      </c>
      <c r="F62" s="17">
        <f>IF(AND(ISNUMBER(SEARCH(","&amp;F$1&amp;",",","&amp;SUBSTITUTE(Catalogo!$F62," ","")&amp;",")),Catalogo!$H62&lt;&gt;"N"),"●","")</f>
        <v/>
      </c>
      <c r="G62" s="17">
        <f>IF(AND(ISNUMBER(SEARCH(","&amp;G$1&amp;",",","&amp;SUBSTITUTE(Catalogo!$F62," ","")&amp;",")),Catalogo!$H62&lt;&gt;"N"),"●","")</f>
        <v/>
      </c>
      <c r="H62" s="17">
        <f>IF(AND(ISNUMBER(SEARCH(","&amp;H$1&amp;",",","&amp;SUBSTITUTE(Catalogo!$F62," ","")&amp;",")),Catalogo!$H62&lt;&gt;"N"),"●","")</f>
        <v/>
      </c>
      <c r="I62" s="17">
        <f>IF(AND(ISNUMBER(SEARCH(","&amp;I$1&amp;",",","&amp;SUBSTITUTE(Catalogo!$F62," ","")&amp;",")),Catalogo!$H62&lt;&gt;"N"),"●","")</f>
        <v/>
      </c>
      <c r="J62" s="17">
        <f>IF(AND(ISNUMBER(SEARCH(","&amp;J$1&amp;",",","&amp;SUBSTITUTE(Catalogo!$F62," ","")&amp;",")),Catalogo!$H62&lt;&gt;"N"),"●","")</f>
        <v/>
      </c>
      <c r="K62" s="17">
        <f>IF(AND(ISNUMBER(SEARCH(","&amp;K$1&amp;",",","&amp;SUBSTITUTE(Catalogo!$F62," ","")&amp;",")),Catalogo!$H62&lt;&gt;"N"),"●","")</f>
        <v/>
      </c>
      <c r="L62" s="17">
        <f>IF(AND(ISNUMBER(SEARCH(","&amp;L$1&amp;",",","&amp;SUBSTITUTE(Catalogo!$F62," ","")&amp;",")),Catalogo!$H62&lt;&gt;"N"),"●","")</f>
        <v/>
      </c>
      <c r="M62" s="17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7">
        <f>IF(Catalogo!H63="","(vazio)",Catalogo!H63)</f>
        <v/>
      </c>
      <c r="D63" s="17">
        <f>IF(AND(ISNUMBER(SEARCH(","&amp;D$1&amp;",",","&amp;SUBSTITUTE(Catalogo!$F63," ","")&amp;",")),Catalogo!$H63&lt;&gt;"N"),"●","")</f>
        <v/>
      </c>
      <c r="E63" s="17">
        <f>IF(AND(ISNUMBER(SEARCH(","&amp;E$1&amp;",",","&amp;SUBSTITUTE(Catalogo!$F63," ","")&amp;",")),Catalogo!$H63&lt;&gt;"N"),"●","")</f>
        <v/>
      </c>
      <c r="F63" s="17">
        <f>IF(AND(ISNUMBER(SEARCH(","&amp;F$1&amp;",",","&amp;SUBSTITUTE(Catalogo!$F63," ","")&amp;",")),Catalogo!$H63&lt;&gt;"N"),"●","")</f>
        <v/>
      </c>
      <c r="G63" s="17">
        <f>IF(AND(ISNUMBER(SEARCH(","&amp;G$1&amp;",",","&amp;SUBSTITUTE(Catalogo!$F63," ","")&amp;",")),Catalogo!$H63&lt;&gt;"N"),"●","")</f>
        <v/>
      </c>
      <c r="H63" s="17">
        <f>IF(AND(ISNUMBER(SEARCH(","&amp;H$1&amp;",",","&amp;SUBSTITUTE(Catalogo!$F63," ","")&amp;",")),Catalogo!$H63&lt;&gt;"N"),"●","")</f>
        <v/>
      </c>
      <c r="I63" s="17">
        <f>IF(AND(ISNUMBER(SEARCH(","&amp;I$1&amp;",",","&amp;SUBSTITUTE(Catalogo!$F63," ","")&amp;",")),Catalogo!$H63&lt;&gt;"N"),"●","")</f>
        <v/>
      </c>
      <c r="J63" s="17">
        <f>IF(AND(ISNUMBER(SEARCH(","&amp;J$1&amp;",",","&amp;SUBSTITUTE(Catalogo!$F63," ","")&amp;",")),Catalogo!$H63&lt;&gt;"N"),"●","")</f>
        <v/>
      </c>
      <c r="K63" s="17">
        <f>IF(AND(ISNUMBER(SEARCH(","&amp;K$1&amp;",",","&amp;SUBSTITUTE(Catalogo!$F63," ","")&amp;",")),Catalogo!$H63&lt;&gt;"N"),"●","")</f>
        <v/>
      </c>
      <c r="L63" s="17">
        <f>IF(AND(ISNUMBER(SEARCH(","&amp;L$1&amp;",",","&amp;SUBSTITUTE(Catalogo!$F63," ","")&amp;",")),Catalogo!$H63&lt;&gt;"N"),"●","")</f>
        <v/>
      </c>
      <c r="M63" s="17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7">
        <f>IF(Catalogo!H64="","(vazio)",Catalogo!H64)</f>
        <v/>
      </c>
      <c r="D64" s="17">
        <f>IF(AND(ISNUMBER(SEARCH(","&amp;D$1&amp;",",","&amp;SUBSTITUTE(Catalogo!$F64," ","")&amp;",")),Catalogo!$H64&lt;&gt;"N"),"●","")</f>
        <v/>
      </c>
      <c r="E64" s="17">
        <f>IF(AND(ISNUMBER(SEARCH(","&amp;E$1&amp;",",","&amp;SUBSTITUTE(Catalogo!$F64," ","")&amp;",")),Catalogo!$H64&lt;&gt;"N"),"●","")</f>
        <v/>
      </c>
      <c r="F64" s="17">
        <f>IF(AND(ISNUMBER(SEARCH(","&amp;F$1&amp;",",","&amp;SUBSTITUTE(Catalogo!$F64," ","")&amp;",")),Catalogo!$H64&lt;&gt;"N"),"●","")</f>
        <v/>
      </c>
      <c r="G64" s="17">
        <f>IF(AND(ISNUMBER(SEARCH(","&amp;G$1&amp;",",","&amp;SUBSTITUTE(Catalogo!$F64," ","")&amp;",")),Catalogo!$H64&lt;&gt;"N"),"●","")</f>
        <v/>
      </c>
      <c r="H64" s="17">
        <f>IF(AND(ISNUMBER(SEARCH(","&amp;H$1&amp;",",","&amp;SUBSTITUTE(Catalogo!$F64," ","")&amp;",")),Catalogo!$H64&lt;&gt;"N"),"●","")</f>
        <v/>
      </c>
      <c r="I64" s="17">
        <f>IF(AND(ISNUMBER(SEARCH(","&amp;I$1&amp;",",","&amp;SUBSTITUTE(Catalogo!$F64," ","")&amp;",")),Catalogo!$H64&lt;&gt;"N"),"●","")</f>
        <v/>
      </c>
      <c r="J64" s="17">
        <f>IF(AND(ISNUMBER(SEARCH(","&amp;J$1&amp;",",","&amp;SUBSTITUTE(Catalogo!$F64," ","")&amp;",")),Catalogo!$H64&lt;&gt;"N"),"●","")</f>
        <v/>
      </c>
      <c r="K64" s="17">
        <f>IF(AND(ISNUMBER(SEARCH(","&amp;K$1&amp;",",","&amp;SUBSTITUTE(Catalogo!$F64," ","")&amp;",")),Catalogo!$H64&lt;&gt;"N"),"●","")</f>
        <v/>
      </c>
      <c r="L64" s="17">
        <f>IF(AND(ISNUMBER(SEARCH(","&amp;L$1&amp;",",","&amp;SUBSTITUTE(Catalogo!$F64," ","")&amp;",")),Catalogo!$H64&lt;&gt;"N"),"●","")</f>
        <v/>
      </c>
      <c r="M64" s="17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7">
        <f>IF(Catalogo!H65="","(vazio)",Catalogo!H65)</f>
        <v/>
      </c>
      <c r="D65" s="17">
        <f>IF(AND(ISNUMBER(SEARCH(","&amp;D$1&amp;",",","&amp;SUBSTITUTE(Catalogo!$F65," ","")&amp;",")),Catalogo!$H65&lt;&gt;"N"),"●","")</f>
        <v/>
      </c>
      <c r="E65" s="17">
        <f>IF(AND(ISNUMBER(SEARCH(","&amp;E$1&amp;",",","&amp;SUBSTITUTE(Catalogo!$F65," ","")&amp;",")),Catalogo!$H65&lt;&gt;"N"),"●","")</f>
        <v/>
      </c>
      <c r="F65" s="17">
        <f>IF(AND(ISNUMBER(SEARCH(","&amp;F$1&amp;",",","&amp;SUBSTITUTE(Catalogo!$F65," ","")&amp;",")),Catalogo!$H65&lt;&gt;"N"),"●","")</f>
        <v/>
      </c>
      <c r="G65" s="17">
        <f>IF(AND(ISNUMBER(SEARCH(","&amp;G$1&amp;",",","&amp;SUBSTITUTE(Catalogo!$F65," ","")&amp;",")),Catalogo!$H65&lt;&gt;"N"),"●","")</f>
        <v/>
      </c>
      <c r="H65" s="17">
        <f>IF(AND(ISNUMBER(SEARCH(","&amp;H$1&amp;",",","&amp;SUBSTITUTE(Catalogo!$F65," ","")&amp;",")),Catalogo!$H65&lt;&gt;"N"),"●","")</f>
        <v/>
      </c>
      <c r="I65" s="17">
        <f>IF(AND(ISNUMBER(SEARCH(","&amp;I$1&amp;",",","&amp;SUBSTITUTE(Catalogo!$F65," ","")&amp;",")),Catalogo!$H65&lt;&gt;"N"),"●","")</f>
        <v/>
      </c>
      <c r="J65" s="17">
        <f>IF(AND(ISNUMBER(SEARCH(","&amp;J$1&amp;",",","&amp;SUBSTITUTE(Catalogo!$F65," ","")&amp;",")),Catalogo!$H65&lt;&gt;"N"),"●","")</f>
        <v/>
      </c>
      <c r="K65" s="17">
        <f>IF(AND(ISNUMBER(SEARCH(","&amp;K$1&amp;",",","&amp;SUBSTITUTE(Catalogo!$F65," ","")&amp;",")),Catalogo!$H65&lt;&gt;"N"),"●","")</f>
        <v/>
      </c>
      <c r="L65" s="17">
        <f>IF(AND(ISNUMBER(SEARCH(","&amp;L$1&amp;",",","&amp;SUBSTITUTE(Catalogo!$F65," ","")&amp;",")),Catalogo!$H65&lt;&gt;"N"),"●","")</f>
        <v/>
      </c>
      <c r="M65" s="17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7">
        <f>IF(Catalogo!H66="","(vazio)",Catalogo!H66)</f>
        <v/>
      </c>
      <c r="D66" s="17">
        <f>IF(AND(ISNUMBER(SEARCH(","&amp;D$1&amp;",",","&amp;SUBSTITUTE(Catalogo!$F66," ","")&amp;",")),Catalogo!$H66&lt;&gt;"N"),"●","")</f>
        <v/>
      </c>
      <c r="E66" s="17">
        <f>IF(AND(ISNUMBER(SEARCH(","&amp;E$1&amp;",",","&amp;SUBSTITUTE(Catalogo!$F66," ","")&amp;",")),Catalogo!$H66&lt;&gt;"N"),"●","")</f>
        <v/>
      </c>
      <c r="F66" s="17">
        <f>IF(AND(ISNUMBER(SEARCH(","&amp;F$1&amp;",",","&amp;SUBSTITUTE(Catalogo!$F66," ","")&amp;",")),Catalogo!$H66&lt;&gt;"N"),"●","")</f>
        <v/>
      </c>
      <c r="G66" s="17">
        <f>IF(AND(ISNUMBER(SEARCH(","&amp;G$1&amp;",",","&amp;SUBSTITUTE(Catalogo!$F66," ","")&amp;",")),Catalogo!$H66&lt;&gt;"N"),"●","")</f>
        <v/>
      </c>
      <c r="H66" s="17">
        <f>IF(AND(ISNUMBER(SEARCH(","&amp;H$1&amp;",",","&amp;SUBSTITUTE(Catalogo!$F66," ","")&amp;",")),Catalogo!$H66&lt;&gt;"N"),"●","")</f>
        <v/>
      </c>
      <c r="I66" s="17">
        <f>IF(AND(ISNUMBER(SEARCH(","&amp;I$1&amp;",",","&amp;SUBSTITUTE(Catalogo!$F66," ","")&amp;",")),Catalogo!$H66&lt;&gt;"N"),"●","")</f>
        <v/>
      </c>
      <c r="J66" s="17">
        <f>IF(AND(ISNUMBER(SEARCH(","&amp;J$1&amp;",",","&amp;SUBSTITUTE(Catalogo!$F66," ","")&amp;",")),Catalogo!$H66&lt;&gt;"N"),"●","")</f>
        <v/>
      </c>
      <c r="K66" s="17">
        <f>IF(AND(ISNUMBER(SEARCH(","&amp;K$1&amp;",",","&amp;SUBSTITUTE(Catalogo!$F66," ","")&amp;",")),Catalogo!$H66&lt;&gt;"N"),"●","")</f>
        <v/>
      </c>
      <c r="L66" s="17">
        <f>IF(AND(ISNUMBER(SEARCH(","&amp;L$1&amp;",",","&amp;SUBSTITUTE(Catalogo!$F66," ","")&amp;",")),Catalogo!$H66&lt;&gt;"N"),"●","")</f>
        <v/>
      </c>
      <c r="M66" s="17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7">
        <f>IF(Catalogo!H67="","(vazio)",Catalogo!H67)</f>
        <v/>
      </c>
      <c r="D67" s="17">
        <f>IF(AND(ISNUMBER(SEARCH(","&amp;D$1&amp;",",","&amp;SUBSTITUTE(Catalogo!$F67," ","")&amp;",")),Catalogo!$H67&lt;&gt;"N"),"●","")</f>
        <v/>
      </c>
      <c r="E67" s="17">
        <f>IF(AND(ISNUMBER(SEARCH(","&amp;E$1&amp;",",","&amp;SUBSTITUTE(Catalogo!$F67," ","")&amp;",")),Catalogo!$H67&lt;&gt;"N"),"●","")</f>
        <v/>
      </c>
      <c r="F67" s="17">
        <f>IF(AND(ISNUMBER(SEARCH(","&amp;F$1&amp;",",","&amp;SUBSTITUTE(Catalogo!$F67," ","")&amp;",")),Catalogo!$H67&lt;&gt;"N"),"●","")</f>
        <v/>
      </c>
      <c r="G67" s="17">
        <f>IF(AND(ISNUMBER(SEARCH(","&amp;G$1&amp;",",","&amp;SUBSTITUTE(Catalogo!$F67," ","")&amp;",")),Catalogo!$H67&lt;&gt;"N"),"●","")</f>
        <v/>
      </c>
      <c r="H67" s="17">
        <f>IF(AND(ISNUMBER(SEARCH(","&amp;H$1&amp;",",","&amp;SUBSTITUTE(Catalogo!$F67," ","")&amp;",")),Catalogo!$H67&lt;&gt;"N"),"●","")</f>
        <v/>
      </c>
      <c r="I67" s="17">
        <f>IF(AND(ISNUMBER(SEARCH(","&amp;I$1&amp;",",","&amp;SUBSTITUTE(Catalogo!$F67," ","")&amp;",")),Catalogo!$H67&lt;&gt;"N"),"●","")</f>
        <v/>
      </c>
      <c r="J67" s="17">
        <f>IF(AND(ISNUMBER(SEARCH(","&amp;J$1&amp;",",","&amp;SUBSTITUTE(Catalogo!$F67," ","")&amp;",")),Catalogo!$H67&lt;&gt;"N"),"●","")</f>
        <v/>
      </c>
      <c r="K67" s="17">
        <f>IF(AND(ISNUMBER(SEARCH(","&amp;K$1&amp;",",","&amp;SUBSTITUTE(Catalogo!$F67," ","")&amp;",")),Catalogo!$H67&lt;&gt;"N"),"●","")</f>
        <v/>
      </c>
      <c r="L67" s="17">
        <f>IF(AND(ISNUMBER(SEARCH(","&amp;L$1&amp;",",","&amp;SUBSTITUTE(Catalogo!$F67," ","")&amp;",")),Catalogo!$H67&lt;&gt;"N"),"●","")</f>
        <v/>
      </c>
      <c r="M67" s="17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7">
        <f>IF(Catalogo!H68="","(vazio)",Catalogo!H68)</f>
        <v/>
      </c>
      <c r="D68" s="17">
        <f>IF(AND(ISNUMBER(SEARCH(","&amp;D$1&amp;",",","&amp;SUBSTITUTE(Catalogo!$F68," ","")&amp;",")),Catalogo!$H68&lt;&gt;"N"),"●","")</f>
        <v/>
      </c>
      <c r="E68" s="17">
        <f>IF(AND(ISNUMBER(SEARCH(","&amp;E$1&amp;",",","&amp;SUBSTITUTE(Catalogo!$F68," ","")&amp;",")),Catalogo!$H68&lt;&gt;"N"),"●","")</f>
        <v/>
      </c>
      <c r="F68" s="17">
        <f>IF(AND(ISNUMBER(SEARCH(","&amp;F$1&amp;",",","&amp;SUBSTITUTE(Catalogo!$F68," ","")&amp;",")),Catalogo!$H68&lt;&gt;"N"),"●","")</f>
        <v/>
      </c>
      <c r="G68" s="17">
        <f>IF(AND(ISNUMBER(SEARCH(","&amp;G$1&amp;",",","&amp;SUBSTITUTE(Catalogo!$F68," ","")&amp;",")),Catalogo!$H68&lt;&gt;"N"),"●","")</f>
        <v/>
      </c>
      <c r="H68" s="17">
        <f>IF(AND(ISNUMBER(SEARCH(","&amp;H$1&amp;",",","&amp;SUBSTITUTE(Catalogo!$F68," ","")&amp;",")),Catalogo!$H68&lt;&gt;"N"),"●","")</f>
        <v/>
      </c>
      <c r="I68" s="17">
        <f>IF(AND(ISNUMBER(SEARCH(","&amp;I$1&amp;",",","&amp;SUBSTITUTE(Catalogo!$F68," ","")&amp;",")),Catalogo!$H68&lt;&gt;"N"),"●","")</f>
        <v/>
      </c>
      <c r="J68" s="17">
        <f>IF(AND(ISNUMBER(SEARCH(","&amp;J$1&amp;",",","&amp;SUBSTITUTE(Catalogo!$F68," ","")&amp;",")),Catalogo!$H68&lt;&gt;"N"),"●","")</f>
        <v/>
      </c>
      <c r="K68" s="17">
        <f>IF(AND(ISNUMBER(SEARCH(","&amp;K$1&amp;",",","&amp;SUBSTITUTE(Catalogo!$F68," ","")&amp;",")),Catalogo!$H68&lt;&gt;"N"),"●","")</f>
        <v/>
      </c>
      <c r="L68" s="17">
        <f>IF(AND(ISNUMBER(SEARCH(","&amp;L$1&amp;",",","&amp;SUBSTITUTE(Catalogo!$F68," ","")&amp;",")),Catalogo!$H68&lt;&gt;"N"),"●","")</f>
        <v/>
      </c>
      <c r="M68" s="17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7">
        <f>IF(Catalogo!H69="","(vazio)",Catalogo!H69)</f>
        <v/>
      </c>
      <c r="D69" s="17">
        <f>IF(AND(ISNUMBER(SEARCH(","&amp;D$1&amp;",",","&amp;SUBSTITUTE(Catalogo!$F69," ","")&amp;",")),Catalogo!$H69&lt;&gt;"N"),"●","")</f>
        <v/>
      </c>
      <c r="E69" s="17">
        <f>IF(AND(ISNUMBER(SEARCH(","&amp;E$1&amp;",",","&amp;SUBSTITUTE(Catalogo!$F69," ","")&amp;",")),Catalogo!$H69&lt;&gt;"N"),"●","")</f>
        <v/>
      </c>
      <c r="F69" s="17">
        <f>IF(AND(ISNUMBER(SEARCH(","&amp;F$1&amp;",",","&amp;SUBSTITUTE(Catalogo!$F69," ","")&amp;",")),Catalogo!$H69&lt;&gt;"N"),"●","")</f>
        <v/>
      </c>
      <c r="G69" s="17">
        <f>IF(AND(ISNUMBER(SEARCH(","&amp;G$1&amp;",",","&amp;SUBSTITUTE(Catalogo!$F69," ","")&amp;",")),Catalogo!$H69&lt;&gt;"N"),"●","")</f>
        <v/>
      </c>
      <c r="H69" s="17">
        <f>IF(AND(ISNUMBER(SEARCH(","&amp;H$1&amp;",",","&amp;SUBSTITUTE(Catalogo!$F69," ","")&amp;",")),Catalogo!$H69&lt;&gt;"N"),"●","")</f>
        <v/>
      </c>
      <c r="I69" s="17">
        <f>IF(AND(ISNUMBER(SEARCH(","&amp;I$1&amp;",",","&amp;SUBSTITUTE(Catalogo!$F69," ","")&amp;",")),Catalogo!$H69&lt;&gt;"N"),"●","")</f>
        <v/>
      </c>
      <c r="J69" s="17">
        <f>IF(AND(ISNUMBER(SEARCH(","&amp;J$1&amp;",",","&amp;SUBSTITUTE(Catalogo!$F69," ","")&amp;",")),Catalogo!$H69&lt;&gt;"N"),"●","")</f>
        <v/>
      </c>
      <c r="K69" s="17">
        <f>IF(AND(ISNUMBER(SEARCH(","&amp;K$1&amp;",",","&amp;SUBSTITUTE(Catalogo!$F69," ","")&amp;",")),Catalogo!$H69&lt;&gt;"N"),"●","")</f>
        <v/>
      </c>
      <c r="L69" s="17">
        <f>IF(AND(ISNUMBER(SEARCH(","&amp;L$1&amp;",",","&amp;SUBSTITUTE(Catalogo!$F69," ","")&amp;",")),Catalogo!$H69&lt;&gt;"N"),"●","")</f>
        <v/>
      </c>
      <c r="M69" s="17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7">
        <f>IF(Catalogo!H70="","(vazio)",Catalogo!H70)</f>
        <v/>
      </c>
      <c r="D70" s="17">
        <f>IF(AND(ISNUMBER(SEARCH(","&amp;D$1&amp;",",","&amp;SUBSTITUTE(Catalogo!$F70," ","")&amp;",")),Catalogo!$H70&lt;&gt;"N"),"●","")</f>
        <v/>
      </c>
      <c r="E70" s="17">
        <f>IF(AND(ISNUMBER(SEARCH(","&amp;E$1&amp;",",","&amp;SUBSTITUTE(Catalogo!$F70," ","")&amp;",")),Catalogo!$H70&lt;&gt;"N"),"●","")</f>
        <v/>
      </c>
      <c r="F70" s="17">
        <f>IF(AND(ISNUMBER(SEARCH(","&amp;F$1&amp;",",","&amp;SUBSTITUTE(Catalogo!$F70," ","")&amp;",")),Catalogo!$H70&lt;&gt;"N"),"●","")</f>
        <v/>
      </c>
      <c r="G70" s="17">
        <f>IF(AND(ISNUMBER(SEARCH(","&amp;G$1&amp;",",","&amp;SUBSTITUTE(Catalogo!$F70," ","")&amp;",")),Catalogo!$H70&lt;&gt;"N"),"●","")</f>
        <v/>
      </c>
      <c r="H70" s="17">
        <f>IF(AND(ISNUMBER(SEARCH(","&amp;H$1&amp;",",","&amp;SUBSTITUTE(Catalogo!$F70," ","")&amp;",")),Catalogo!$H70&lt;&gt;"N"),"●","")</f>
        <v/>
      </c>
      <c r="I70" s="17">
        <f>IF(AND(ISNUMBER(SEARCH(","&amp;I$1&amp;",",","&amp;SUBSTITUTE(Catalogo!$F70," ","")&amp;",")),Catalogo!$H70&lt;&gt;"N"),"●","")</f>
        <v/>
      </c>
      <c r="J70" s="17">
        <f>IF(AND(ISNUMBER(SEARCH(","&amp;J$1&amp;",",","&amp;SUBSTITUTE(Catalogo!$F70," ","")&amp;",")),Catalogo!$H70&lt;&gt;"N"),"●","")</f>
        <v/>
      </c>
      <c r="K70" s="17">
        <f>IF(AND(ISNUMBER(SEARCH(","&amp;K$1&amp;",",","&amp;SUBSTITUTE(Catalogo!$F70," ","")&amp;",")),Catalogo!$H70&lt;&gt;"N"),"●","")</f>
        <v/>
      </c>
      <c r="L70" s="17">
        <f>IF(AND(ISNUMBER(SEARCH(","&amp;L$1&amp;",",","&amp;SUBSTITUTE(Catalogo!$F70," ","")&amp;",")),Catalogo!$H70&lt;&gt;"N"),"●","")</f>
        <v/>
      </c>
      <c r="M70" s="17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7">
        <f>IF(Catalogo!H71="","(vazio)",Catalogo!H71)</f>
        <v/>
      </c>
      <c r="D71" s="17">
        <f>IF(AND(ISNUMBER(SEARCH(","&amp;D$1&amp;",",","&amp;SUBSTITUTE(Catalogo!$F71," ","")&amp;",")),Catalogo!$H71&lt;&gt;"N"),"●","")</f>
        <v/>
      </c>
      <c r="E71" s="17">
        <f>IF(AND(ISNUMBER(SEARCH(","&amp;E$1&amp;",",","&amp;SUBSTITUTE(Catalogo!$F71," ","")&amp;",")),Catalogo!$H71&lt;&gt;"N"),"●","")</f>
        <v/>
      </c>
      <c r="F71" s="17">
        <f>IF(AND(ISNUMBER(SEARCH(","&amp;F$1&amp;",",","&amp;SUBSTITUTE(Catalogo!$F71," ","")&amp;",")),Catalogo!$H71&lt;&gt;"N"),"●","")</f>
        <v/>
      </c>
      <c r="G71" s="17">
        <f>IF(AND(ISNUMBER(SEARCH(","&amp;G$1&amp;",",","&amp;SUBSTITUTE(Catalogo!$F71," ","")&amp;",")),Catalogo!$H71&lt;&gt;"N"),"●","")</f>
        <v/>
      </c>
      <c r="H71" s="17">
        <f>IF(AND(ISNUMBER(SEARCH(","&amp;H$1&amp;",",","&amp;SUBSTITUTE(Catalogo!$F71," ","")&amp;",")),Catalogo!$H71&lt;&gt;"N"),"●","")</f>
        <v/>
      </c>
      <c r="I71" s="17">
        <f>IF(AND(ISNUMBER(SEARCH(","&amp;I$1&amp;",",","&amp;SUBSTITUTE(Catalogo!$F71," ","")&amp;",")),Catalogo!$H71&lt;&gt;"N"),"●","")</f>
        <v/>
      </c>
      <c r="J71" s="17">
        <f>IF(AND(ISNUMBER(SEARCH(","&amp;J$1&amp;",",","&amp;SUBSTITUTE(Catalogo!$F71," ","")&amp;",")),Catalogo!$H71&lt;&gt;"N"),"●","")</f>
        <v/>
      </c>
      <c r="K71" s="17">
        <f>IF(AND(ISNUMBER(SEARCH(","&amp;K$1&amp;",",","&amp;SUBSTITUTE(Catalogo!$F71," ","")&amp;",")),Catalogo!$H71&lt;&gt;"N"),"●","")</f>
        <v/>
      </c>
      <c r="L71" s="17">
        <f>IF(AND(ISNUMBER(SEARCH(","&amp;L$1&amp;",",","&amp;SUBSTITUTE(Catalogo!$F71," ","")&amp;",")),Catalogo!$H71&lt;&gt;"N"),"●","")</f>
        <v/>
      </c>
      <c r="M71" s="17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7">
        <f>IF(Catalogo!H72="","(vazio)",Catalogo!H72)</f>
        <v/>
      </c>
      <c r="D72" s="17">
        <f>IF(AND(ISNUMBER(SEARCH(","&amp;D$1&amp;",",","&amp;SUBSTITUTE(Catalogo!$F72," ","")&amp;",")),Catalogo!$H72&lt;&gt;"N"),"●","")</f>
        <v/>
      </c>
      <c r="E72" s="17">
        <f>IF(AND(ISNUMBER(SEARCH(","&amp;E$1&amp;",",","&amp;SUBSTITUTE(Catalogo!$F72," ","")&amp;",")),Catalogo!$H72&lt;&gt;"N"),"●","")</f>
        <v/>
      </c>
      <c r="F72" s="17">
        <f>IF(AND(ISNUMBER(SEARCH(","&amp;F$1&amp;",",","&amp;SUBSTITUTE(Catalogo!$F72," ","")&amp;",")),Catalogo!$H72&lt;&gt;"N"),"●","")</f>
        <v/>
      </c>
      <c r="G72" s="17">
        <f>IF(AND(ISNUMBER(SEARCH(","&amp;G$1&amp;",",","&amp;SUBSTITUTE(Catalogo!$F72," ","")&amp;",")),Catalogo!$H72&lt;&gt;"N"),"●","")</f>
        <v/>
      </c>
      <c r="H72" s="17">
        <f>IF(AND(ISNUMBER(SEARCH(","&amp;H$1&amp;",",","&amp;SUBSTITUTE(Catalogo!$F72," ","")&amp;",")),Catalogo!$H72&lt;&gt;"N"),"●","")</f>
        <v/>
      </c>
      <c r="I72" s="17">
        <f>IF(AND(ISNUMBER(SEARCH(","&amp;I$1&amp;",",","&amp;SUBSTITUTE(Catalogo!$F72," ","")&amp;",")),Catalogo!$H72&lt;&gt;"N"),"●","")</f>
        <v/>
      </c>
      <c r="J72" s="17">
        <f>IF(AND(ISNUMBER(SEARCH(","&amp;J$1&amp;",",","&amp;SUBSTITUTE(Catalogo!$F72," ","")&amp;",")),Catalogo!$H72&lt;&gt;"N"),"●","")</f>
        <v/>
      </c>
      <c r="K72" s="17">
        <f>IF(AND(ISNUMBER(SEARCH(","&amp;K$1&amp;",",","&amp;SUBSTITUTE(Catalogo!$F72," ","")&amp;",")),Catalogo!$H72&lt;&gt;"N"),"●","")</f>
        <v/>
      </c>
      <c r="L72" s="17">
        <f>IF(AND(ISNUMBER(SEARCH(","&amp;L$1&amp;",",","&amp;SUBSTITUTE(Catalogo!$F72," ","")&amp;",")),Catalogo!$H72&lt;&gt;"N"),"●","")</f>
        <v/>
      </c>
      <c r="M72" s="17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7">
        <f>IF(Catalogo!H73="","(vazio)",Catalogo!H73)</f>
        <v/>
      </c>
      <c r="D73" s="17">
        <f>IF(AND(ISNUMBER(SEARCH(","&amp;D$1&amp;",",","&amp;SUBSTITUTE(Catalogo!$F73," ","")&amp;",")),Catalogo!$H73&lt;&gt;"N"),"●","")</f>
        <v/>
      </c>
      <c r="E73" s="17">
        <f>IF(AND(ISNUMBER(SEARCH(","&amp;E$1&amp;",",","&amp;SUBSTITUTE(Catalogo!$F73," ","")&amp;",")),Catalogo!$H73&lt;&gt;"N"),"●","")</f>
        <v/>
      </c>
      <c r="F73" s="17">
        <f>IF(AND(ISNUMBER(SEARCH(","&amp;F$1&amp;",",","&amp;SUBSTITUTE(Catalogo!$F73," ","")&amp;",")),Catalogo!$H73&lt;&gt;"N"),"●","")</f>
        <v/>
      </c>
      <c r="G73" s="17">
        <f>IF(AND(ISNUMBER(SEARCH(","&amp;G$1&amp;",",","&amp;SUBSTITUTE(Catalogo!$F73," ","")&amp;",")),Catalogo!$H73&lt;&gt;"N"),"●","")</f>
        <v/>
      </c>
      <c r="H73" s="17">
        <f>IF(AND(ISNUMBER(SEARCH(","&amp;H$1&amp;",",","&amp;SUBSTITUTE(Catalogo!$F73," ","")&amp;",")),Catalogo!$H73&lt;&gt;"N"),"●","")</f>
        <v/>
      </c>
      <c r="I73" s="17">
        <f>IF(AND(ISNUMBER(SEARCH(","&amp;I$1&amp;",",","&amp;SUBSTITUTE(Catalogo!$F73," ","")&amp;",")),Catalogo!$H73&lt;&gt;"N"),"●","")</f>
        <v/>
      </c>
      <c r="J73" s="17">
        <f>IF(AND(ISNUMBER(SEARCH(","&amp;J$1&amp;",",","&amp;SUBSTITUTE(Catalogo!$F73," ","")&amp;",")),Catalogo!$H73&lt;&gt;"N"),"●","")</f>
        <v/>
      </c>
      <c r="K73" s="17">
        <f>IF(AND(ISNUMBER(SEARCH(","&amp;K$1&amp;",",","&amp;SUBSTITUTE(Catalogo!$F73," ","")&amp;",")),Catalogo!$H73&lt;&gt;"N"),"●","")</f>
        <v/>
      </c>
      <c r="L73" s="17">
        <f>IF(AND(ISNUMBER(SEARCH(","&amp;L$1&amp;",",","&amp;SUBSTITUTE(Catalogo!$F73," ","")&amp;",")),Catalogo!$H73&lt;&gt;"N"),"●","")</f>
        <v/>
      </c>
      <c r="M73" s="17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7">
        <f>IF(Catalogo!H74="","(vazio)",Catalogo!H74)</f>
        <v/>
      </c>
      <c r="D74" s="17">
        <f>IF(AND(ISNUMBER(SEARCH(","&amp;D$1&amp;",",","&amp;SUBSTITUTE(Catalogo!$F74," ","")&amp;",")),Catalogo!$H74&lt;&gt;"N"),"●","")</f>
        <v/>
      </c>
      <c r="E74" s="17">
        <f>IF(AND(ISNUMBER(SEARCH(","&amp;E$1&amp;",",","&amp;SUBSTITUTE(Catalogo!$F74," ","")&amp;",")),Catalogo!$H74&lt;&gt;"N"),"●","")</f>
        <v/>
      </c>
      <c r="F74" s="17">
        <f>IF(AND(ISNUMBER(SEARCH(","&amp;F$1&amp;",",","&amp;SUBSTITUTE(Catalogo!$F74," ","")&amp;",")),Catalogo!$H74&lt;&gt;"N"),"●","")</f>
        <v/>
      </c>
      <c r="G74" s="17">
        <f>IF(AND(ISNUMBER(SEARCH(","&amp;G$1&amp;",",","&amp;SUBSTITUTE(Catalogo!$F74," ","")&amp;",")),Catalogo!$H74&lt;&gt;"N"),"●","")</f>
        <v/>
      </c>
      <c r="H74" s="17">
        <f>IF(AND(ISNUMBER(SEARCH(","&amp;H$1&amp;",",","&amp;SUBSTITUTE(Catalogo!$F74," ","")&amp;",")),Catalogo!$H74&lt;&gt;"N"),"●","")</f>
        <v/>
      </c>
      <c r="I74" s="17">
        <f>IF(AND(ISNUMBER(SEARCH(","&amp;I$1&amp;",",","&amp;SUBSTITUTE(Catalogo!$F74," ","")&amp;",")),Catalogo!$H74&lt;&gt;"N"),"●","")</f>
        <v/>
      </c>
      <c r="J74" s="17">
        <f>IF(AND(ISNUMBER(SEARCH(","&amp;J$1&amp;",",","&amp;SUBSTITUTE(Catalogo!$F74," ","")&amp;",")),Catalogo!$H74&lt;&gt;"N"),"●","")</f>
        <v/>
      </c>
      <c r="K74" s="17">
        <f>IF(AND(ISNUMBER(SEARCH(","&amp;K$1&amp;",",","&amp;SUBSTITUTE(Catalogo!$F74," ","")&amp;",")),Catalogo!$H74&lt;&gt;"N"),"●","")</f>
        <v/>
      </c>
      <c r="L74" s="17">
        <f>IF(AND(ISNUMBER(SEARCH(","&amp;L$1&amp;",",","&amp;SUBSTITUTE(Catalogo!$F74," ","")&amp;",")),Catalogo!$H74&lt;&gt;"N"),"●","")</f>
        <v/>
      </c>
      <c r="M74" s="17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7">
        <f>IF(Catalogo!H75="","(vazio)",Catalogo!H75)</f>
        <v/>
      </c>
      <c r="D75" s="17">
        <f>IF(AND(ISNUMBER(SEARCH(","&amp;D$1&amp;",",","&amp;SUBSTITUTE(Catalogo!$F75," ","")&amp;",")),Catalogo!$H75&lt;&gt;"N"),"●","")</f>
        <v/>
      </c>
      <c r="E75" s="17">
        <f>IF(AND(ISNUMBER(SEARCH(","&amp;E$1&amp;",",","&amp;SUBSTITUTE(Catalogo!$F75," ","")&amp;",")),Catalogo!$H75&lt;&gt;"N"),"●","")</f>
        <v/>
      </c>
      <c r="F75" s="17">
        <f>IF(AND(ISNUMBER(SEARCH(","&amp;F$1&amp;",",","&amp;SUBSTITUTE(Catalogo!$F75," ","")&amp;",")),Catalogo!$H75&lt;&gt;"N"),"●","")</f>
        <v/>
      </c>
      <c r="G75" s="17">
        <f>IF(AND(ISNUMBER(SEARCH(","&amp;G$1&amp;",",","&amp;SUBSTITUTE(Catalogo!$F75," ","")&amp;",")),Catalogo!$H75&lt;&gt;"N"),"●","")</f>
        <v/>
      </c>
      <c r="H75" s="17">
        <f>IF(AND(ISNUMBER(SEARCH(","&amp;H$1&amp;",",","&amp;SUBSTITUTE(Catalogo!$F75," ","")&amp;",")),Catalogo!$H75&lt;&gt;"N"),"●","")</f>
        <v/>
      </c>
      <c r="I75" s="17">
        <f>IF(AND(ISNUMBER(SEARCH(","&amp;I$1&amp;",",","&amp;SUBSTITUTE(Catalogo!$F75," ","")&amp;",")),Catalogo!$H75&lt;&gt;"N"),"●","")</f>
        <v/>
      </c>
      <c r="J75" s="17">
        <f>IF(AND(ISNUMBER(SEARCH(","&amp;J$1&amp;",",","&amp;SUBSTITUTE(Catalogo!$F75," ","")&amp;",")),Catalogo!$H75&lt;&gt;"N"),"●","")</f>
        <v/>
      </c>
      <c r="K75" s="17">
        <f>IF(AND(ISNUMBER(SEARCH(","&amp;K$1&amp;",",","&amp;SUBSTITUTE(Catalogo!$F75," ","")&amp;",")),Catalogo!$H75&lt;&gt;"N"),"●","")</f>
        <v/>
      </c>
      <c r="L75" s="17">
        <f>IF(AND(ISNUMBER(SEARCH(","&amp;L$1&amp;",",","&amp;SUBSTITUTE(Catalogo!$F75," ","")&amp;",")),Catalogo!$H75&lt;&gt;"N"),"●","")</f>
        <v/>
      </c>
      <c r="M75" s="17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7">
        <f>IF(Catalogo!H76="","(vazio)",Catalogo!H76)</f>
        <v/>
      </c>
      <c r="D76" s="17">
        <f>IF(AND(ISNUMBER(SEARCH(","&amp;D$1&amp;",",","&amp;SUBSTITUTE(Catalogo!$F76," ","")&amp;",")),Catalogo!$H76&lt;&gt;"N"),"●","")</f>
        <v/>
      </c>
      <c r="E76" s="17">
        <f>IF(AND(ISNUMBER(SEARCH(","&amp;E$1&amp;",",","&amp;SUBSTITUTE(Catalogo!$F76," ","")&amp;",")),Catalogo!$H76&lt;&gt;"N"),"●","")</f>
        <v/>
      </c>
      <c r="F76" s="17">
        <f>IF(AND(ISNUMBER(SEARCH(","&amp;F$1&amp;",",","&amp;SUBSTITUTE(Catalogo!$F76," ","")&amp;",")),Catalogo!$H76&lt;&gt;"N"),"●","")</f>
        <v/>
      </c>
      <c r="G76" s="17">
        <f>IF(AND(ISNUMBER(SEARCH(","&amp;G$1&amp;",",","&amp;SUBSTITUTE(Catalogo!$F76," ","")&amp;",")),Catalogo!$H76&lt;&gt;"N"),"●","")</f>
        <v/>
      </c>
      <c r="H76" s="17">
        <f>IF(AND(ISNUMBER(SEARCH(","&amp;H$1&amp;",",","&amp;SUBSTITUTE(Catalogo!$F76," ","")&amp;",")),Catalogo!$H76&lt;&gt;"N"),"●","")</f>
        <v/>
      </c>
      <c r="I76" s="17">
        <f>IF(AND(ISNUMBER(SEARCH(","&amp;I$1&amp;",",","&amp;SUBSTITUTE(Catalogo!$F76," ","")&amp;",")),Catalogo!$H76&lt;&gt;"N"),"●","")</f>
        <v/>
      </c>
      <c r="J76" s="17">
        <f>IF(AND(ISNUMBER(SEARCH(","&amp;J$1&amp;",",","&amp;SUBSTITUTE(Catalogo!$F76," ","")&amp;",")),Catalogo!$H76&lt;&gt;"N"),"●","")</f>
        <v/>
      </c>
      <c r="K76" s="17">
        <f>IF(AND(ISNUMBER(SEARCH(","&amp;K$1&amp;",",","&amp;SUBSTITUTE(Catalogo!$F76," ","")&amp;",")),Catalogo!$H76&lt;&gt;"N"),"●","")</f>
        <v/>
      </c>
      <c r="L76" s="17">
        <f>IF(AND(ISNUMBER(SEARCH(","&amp;L$1&amp;",",","&amp;SUBSTITUTE(Catalogo!$F76," ","")&amp;",")),Catalogo!$H76&lt;&gt;"N"),"●","")</f>
        <v/>
      </c>
      <c r="M76" s="17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7">
        <f>IF(Catalogo!H77="","(vazio)",Catalogo!H77)</f>
        <v/>
      </c>
      <c r="D77" s="17">
        <f>IF(AND(ISNUMBER(SEARCH(","&amp;D$1&amp;",",","&amp;SUBSTITUTE(Catalogo!$F77," ","")&amp;",")),Catalogo!$H77&lt;&gt;"N"),"●","")</f>
        <v/>
      </c>
      <c r="E77" s="17">
        <f>IF(AND(ISNUMBER(SEARCH(","&amp;E$1&amp;",",","&amp;SUBSTITUTE(Catalogo!$F77," ","")&amp;",")),Catalogo!$H77&lt;&gt;"N"),"●","")</f>
        <v/>
      </c>
      <c r="F77" s="17">
        <f>IF(AND(ISNUMBER(SEARCH(","&amp;F$1&amp;",",","&amp;SUBSTITUTE(Catalogo!$F77," ","")&amp;",")),Catalogo!$H77&lt;&gt;"N"),"●","")</f>
        <v/>
      </c>
      <c r="G77" s="17">
        <f>IF(AND(ISNUMBER(SEARCH(","&amp;G$1&amp;",",","&amp;SUBSTITUTE(Catalogo!$F77," ","")&amp;",")),Catalogo!$H77&lt;&gt;"N"),"●","")</f>
        <v/>
      </c>
      <c r="H77" s="17">
        <f>IF(AND(ISNUMBER(SEARCH(","&amp;H$1&amp;",",","&amp;SUBSTITUTE(Catalogo!$F77," ","")&amp;",")),Catalogo!$H77&lt;&gt;"N"),"●","")</f>
        <v/>
      </c>
      <c r="I77" s="17">
        <f>IF(AND(ISNUMBER(SEARCH(","&amp;I$1&amp;",",","&amp;SUBSTITUTE(Catalogo!$F77," ","")&amp;",")),Catalogo!$H77&lt;&gt;"N"),"●","")</f>
        <v/>
      </c>
      <c r="J77" s="17">
        <f>IF(AND(ISNUMBER(SEARCH(","&amp;J$1&amp;",",","&amp;SUBSTITUTE(Catalogo!$F77," ","")&amp;",")),Catalogo!$H77&lt;&gt;"N"),"●","")</f>
        <v/>
      </c>
      <c r="K77" s="17">
        <f>IF(AND(ISNUMBER(SEARCH(","&amp;K$1&amp;",",","&amp;SUBSTITUTE(Catalogo!$F77," ","")&amp;",")),Catalogo!$H77&lt;&gt;"N"),"●","")</f>
        <v/>
      </c>
      <c r="L77" s="17">
        <f>IF(AND(ISNUMBER(SEARCH(","&amp;L$1&amp;",",","&amp;SUBSTITUTE(Catalogo!$F77," ","")&amp;",")),Catalogo!$H77&lt;&gt;"N"),"●","")</f>
        <v/>
      </c>
      <c r="M77" s="17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7">
        <f>IF(Catalogo!H78="","(vazio)",Catalogo!H78)</f>
        <v/>
      </c>
      <c r="D78" s="17">
        <f>IF(AND(ISNUMBER(SEARCH(","&amp;D$1&amp;",",","&amp;SUBSTITUTE(Catalogo!$F78," ","")&amp;",")),Catalogo!$H78&lt;&gt;"N"),"●","")</f>
        <v/>
      </c>
      <c r="E78" s="17">
        <f>IF(AND(ISNUMBER(SEARCH(","&amp;E$1&amp;",",","&amp;SUBSTITUTE(Catalogo!$F78," ","")&amp;",")),Catalogo!$H78&lt;&gt;"N"),"●","")</f>
        <v/>
      </c>
      <c r="F78" s="17">
        <f>IF(AND(ISNUMBER(SEARCH(","&amp;F$1&amp;",",","&amp;SUBSTITUTE(Catalogo!$F78," ","")&amp;",")),Catalogo!$H78&lt;&gt;"N"),"●","")</f>
        <v/>
      </c>
      <c r="G78" s="17">
        <f>IF(AND(ISNUMBER(SEARCH(","&amp;G$1&amp;",",","&amp;SUBSTITUTE(Catalogo!$F78," ","")&amp;",")),Catalogo!$H78&lt;&gt;"N"),"●","")</f>
        <v/>
      </c>
      <c r="H78" s="17">
        <f>IF(AND(ISNUMBER(SEARCH(","&amp;H$1&amp;",",","&amp;SUBSTITUTE(Catalogo!$F78," ","")&amp;",")),Catalogo!$H78&lt;&gt;"N"),"●","")</f>
        <v/>
      </c>
      <c r="I78" s="17">
        <f>IF(AND(ISNUMBER(SEARCH(","&amp;I$1&amp;",",","&amp;SUBSTITUTE(Catalogo!$F78," ","")&amp;",")),Catalogo!$H78&lt;&gt;"N"),"●","")</f>
        <v/>
      </c>
      <c r="J78" s="17">
        <f>IF(AND(ISNUMBER(SEARCH(","&amp;J$1&amp;",",","&amp;SUBSTITUTE(Catalogo!$F78," ","")&amp;",")),Catalogo!$H78&lt;&gt;"N"),"●","")</f>
        <v/>
      </c>
      <c r="K78" s="17">
        <f>IF(AND(ISNUMBER(SEARCH(","&amp;K$1&amp;",",","&amp;SUBSTITUTE(Catalogo!$F78," ","")&amp;",")),Catalogo!$H78&lt;&gt;"N"),"●","")</f>
        <v/>
      </c>
      <c r="L78" s="17">
        <f>IF(AND(ISNUMBER(SEARCH(","&amp;L$1&amp;",",","&amp;SUBSTITUTE(Catalogo!$F78," ","")&amp;",")),Catalogo!$H78&lt;&gt;"N"),"●","")</f>
        <v/>
      </c>
      <c r="M78" s="17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7">
        <f>IF(Catalogo!H79="","(vazio)",Catalogo!H79)</f>
        <v/>
      </c>
      <c r="D79" s="17">
        <f>IF(AND(ISNUMBER(SEARCH(","&amp;D$1&amp;",",","&amp;SUBSTITUTE(Catalogo!$F79," ","")&amp;",")),Catalogo!$H79&lt;&gt;"N"),"●","")</f>
        <v/>
      </c>
      <c r="E79" s="17">
        <f>IF(AND(ISNUMBER(SEARCH(","&amp;E$1&amp;",",","&amp;SUBSTITUTE(Catalogo!$F79," ","")&amp;",")),Catalogo!$H79&lt;&gt;"N"),"●","")</f>
        <v/>
      </c>
      <c r="F79" s="17">
        <f>IF(AND(ISNUMBER(SEARCH(","&amp;F$1&amp;",",","&amp;SUBSTITUTE(Catalogo!$F79," ","")&amp;",")),Catalogo!$H79&lt;&gt;"N"),"●","")</f>
        <v/>
      </c>
      <c r="G79" s="17">
        <f>IF(AND(ISNUMBER(SEARCH(","&amp;G$1&amp;",",","&amp;SUBSTITUTE(Catalogo!$F79," ","")&amp;",")),Catalogo!$H79&lt;&gt;"N"),"●","")</f>
        <v/>
      </c>
      <c r="H79" s="17">
        <f>IF(AND(ISNUMBER(SEARCH(","&amp;H$1&amp;",",","&amp;SUBSTITUTE(Catalogo!$F79," ","")&amp;",")),Catalogo!$H79&lt;&gt;"N"),"●","")</f>
        <v/>
      </c>
      <c r="I79" s="17">
        <f>IF(AND(ISNUMBER(SEARCH(","&amp;I$1&amp;",",","&amp;SUBSTITUTE(Catalogo!$F79," ","")&amp;",")),Catalogo!$H79&lt;&gt;"N"),"●","")</f>
        <v/>
      </c>
      <c r="J79" s="17">
        <f>IF(AND(ISNUMBER(SEARCH(","&amp;J$1&amp;",",","&amp;SUBSTITUTE(Catalogo!$F79," ","")&amp;",")),Catalogo!$H79&lt;&gt;"N"),"●","")</f>
        <v/>
      </c>
      <c r="K79" s="17">
        <f>IF(AND(ISNUMBER(SEARCH(","&amp;K$1&amp;",",","&amp;SUBSTITUTE(Catalogo!$F79," ","")&amp;",")),Catalogo!$H79&lt;&gt;"N"),"●","")</f>
        <v/>
      </c>
      <c r="L79" s="17">
        <f>IF(AND(ISNUMBER(SEARCH(","&amp;L$1&amp;",",","&amp;SUBSTITUTE(Catalogo!$F79," ","")&amp;",")),Catalogo!$H79&lt;&gt;"N"),"●","")</f>
        <v/>
      </c>
      <c r="M79" s="17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7">
        <f>IF(Catalogo!H80="","(vazio)",Catalogo!H80)</f>
        <v/>
      </c>
      <c r="D80" s="17">
        <f>IF(AND(ISNUMBER(SEARCH(","&amp;D$1&amp;",",","&amp;SUBSTITUTE(Catalogo!$F80," ","")&amp;",")),Catalogo!$H80&lt;&gt;"N"),"●","")</f>
        <v/>
      </c>
      <c r="E80" s="17">
        <f>IF(AND(ISNUMBER(SEARCH(","&amp;E$1&amp;",",","&amp;SUBSTITUTE(Catalogo!$F80," ","")&amp;",")),Catalogo!$H80&lt;&gt;"N"),"●","")</f>
        <v/>
      </c>
      <c r="F80" s="17">
        <f>IF(AND(ISNUMBER(SEARCH(","&amp;F$1&amp;",",","&amp;SUBSTITUTE(Catalogo!$F80," ","")&amp;",")),Catalogo!$H80&lt;&gt;"N"),"●","")</f>
        <v/>
      </c>
      <c r="G80" s="17">
        <f>IF(AND(ISNUMBER(SEARCH(","&amp;G$1&amp;",",","&amp;SUBSTITUTE(Catalogo!$F80," ","")&amp;",")),Catalogo!$H80&lt;&gt;"N"),"●","")</f>
        <v/>
      </c>
      <c r="H80" s="17">
        <f>IF(AND(ISNUMBER(SEARCH(","&amp;H$1&amp;",",","&amp;SUBSTITUTE(Catalogo!$F80," ","")&amp;",")),Catalogo!$H80&lt;&gt;"N"),"●","")</f>
        <v/>
      </c>
      <c r="I80" s="17">
        <f>IF(AND(ISNUMBER(SEARCH(","&amp;I$1&amp;",",","&amp;SUBSTITUTE(Catalogo!$F80," ","")&amp;",")),Catalogo!$H80&lt;&gt;"N"),"●","")</f>
        <v/>
      </c>
      <c r="J80" s="17">
        <f>IF(AND(ISNUMBER(SEARCH(","&amp;J$1&amp;",",","&amp;SUBSTITUTE(Catalogo!$F80," ","")&amp;",")),Catalogo!$H80&lt;&gt;"N"),"●","")</f>
        <v/>
      </c>
      <c r="K80" s="17">
        <f>IF(AND(ISNUMBER(SEARCH(","&amp;K$1&amp;",",","&amp;SUBSTITUTE(Catalogo!$F80," ","")&amp;",")),Catalogo!$H80&lt;&gt;"N"),"●","")</f>
        <v/>
      </c>
      <c r="L80" s="17">
        <f>IF(AND(ISNUMBER(SEARCH(","&amp;L$1&amp;",",","&amp;SUBSTITUTE(Catalogo!$F80," ","")&amp;",")),Catalogo!$H80&lt;&gt;"N"),"●","")</f>
        <v/>
      </c>
      <c r="M80" s="17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7">
        <f>IF(Catalogo!H81="","(vazio)",Catalogo!H81)</f>
        <v/>
      </c>
      <c r="D81" s="17">
        <f>IF(AND(ISNUMBER(SEARCH(","&amp;D$1&amp;",",","&amp;SUBSTITUTE(Catalogo!$F81," ","")&amp;",")),Catalogo!$H81&lt;&gt;"N"),"●","")</f>
        <v/>
      </c>
      <c r="E81" s="17">
        <f>IF(AND(ISNUMBER(SEARCH(","&amp;E$1&amp;",",","&amp;SUBSTITUTE(Catalogo!$F81," ","")&amp;",")),Catalogo!$H81&lt;&gt;"N"),"●","")</f>
        <v/>
      </c>
      <c r="F81" s="17">
        <f>IF(AND(ISNUMBER(SEARCH(","&amp;F$1&amp;",",","&amp;SUBSTITUTE(Catalogo!$F81," ","")&amp;",")),Catalogo!$H81&lt;&gt;"N"),"●","")</f>
        <v/>
      </c>
      <c r="G81" s="17">
        <f>IF(AND(ISNUMBER(SEARCH(","&amp;G$1&amp;",",","&amp;SUBSTITUTE(Catalogo!$F81," ","")&amp;",")),Catalogo!$H81&lt;&gt;"N"),"●","")</f>
        <v/>
      </c>
      <c r="H81" s="17">
        <f>IF(AND(ISNUMBER(SEARCH(","&amp;H$1&amp;",",","&amp;SUBSTITUTE(Catalogo!$F81," ","")&amp;",")),Catalogo!$H81&lt;&gt;"N"),"●","")</f>
        <v/>
      </c>
      <c r="I81" s="17">
        <f>IF(AND(ISNUMBER(SEARCH(","&amp;I$1&amp;",",","&amp;SUBSTITUTE(Catalogo!$F81," ","")&amp;",")),Catalogo!$H81&lt;&gt;"N"),"●","")</f>
        <v/>
      </c>
      <c r="J81" s="17">
        <f>IF(AND(ISNUMBER(SEARCH(","&amp;J$1&amp;",",","&amp;SUBSTITUTE(Catalogo!$F81," ","")&amp;",")),Catalogo!$H81&lt;&gt;"N"),"●","")</f>
        <v/>
      </c>
      <c r="K81" s="17">
        <f>IF(AND(ISNUMBER(SEARCH(","&amp;K$1&amp;",",","&amp;SUBSTITUTE(Catalogo!$F81," ","")&amp;",")),Catalogo!$H81&lt;&gt;"N"),"●","")</f>
        <v/>
      </c>
      <c r="L81" s="17">
        <f>IF(AND(ISNUMBER(SEARCH(","&amp;L$1&amp;",",","&amp;SUBSTITUTE(Catalogo!$F81," ","")&amp;",")),Catalogo!$H81&lt;&gt;"N"),"●","")</f>
        <v/>
      </c>
      <c r="M81" s="17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7">
        <f>IF(Catalogo!H82="","(vazio)",Catalogo!H82)</f>
        <v/>
      </c>
      <c r="D82" s="17">
        <f>IF(AND(ISNUMBER(SEARCH(","&amp;D$1&amp;",",","&amp;SUBSTITUTE(Catalogo!$F82," ","")&amp;",")),Catalogo!$H82&lt;&gt;"N"),"●","")</f>
        <v/>
      </c>
      <c r="E82" s="17">
        <f>IF(AND(ISNUMBER(SEARCH(","&amp;E$1&amp;",",","&amp;SUBSTITUTE(Catalogo!$F82," ","")&amp;",")),Catalogo!$H82&lt;&gt;"N"),"●","")</f>
        <v/>
      </c>
      <c r="F82" s="17">
        <f>IF(AND(ISNUMBER(SEARCH(","&amp;F$1&amp;",",","&amp;SUBSTITUTE(Catalogo!$F82," ","")&amp;",")),Catalogo!$H82&lt;&gt;"N"),"●","")</f>
        <v/>
      </c>
      <c r="G82" s="17">
        <f>IF(AND(ISNUMBER(SEARCH(","&amp;G$1&amp;",",","&amp;SUBSTITUTE(Catalogo!$F82," ","")&amp;",")),Catalogo!$H82&lt;&gt;"N"),"●","")</f>
        <v/>
      </c>
      <c r="H82" s="17">
        <f>IF(AND(ISNUMBER(SEARCH(","&amp;H$1&amp;",",","&amp;SUBSTITUTE(Catalogo!$F82," ","")&amp;",")),Catalogo!$H82&lt;&gt;"N"),"●","")</f>
        <v/>
      </c>
      <c r="I82" s="17">
        <f>IF(AND(ISNUMBER(SEARCH(","&amp;I$1&amp;",",","&amp;SUBSTITUTE(Catalogo!$F82," ","")&amp;",")),Catalogo!$H82&lt;&gt;"N"),"●","")</f>
        <v/>
      </c>
      <c r="J82" s="17">
        <f>IF(AND(ISNUMBER(SEARCH(","&amp;J$1&amp;",",","&amp;SUBSTITUTE(Catalogo!$F82," ","")&amp;",")),Catalogo!$H82&lt;&gt;"N"),"●","")</f>
        <v/>
      </c>
      <c r="K82" s="17">
        <f>IF(AND(ISNUMBER(SEARCH(","&amp;K$1&amp;",",","&amp;SUBSTITUTE(Catalogo!$F82," ","")&amp;",")),Catalogo!$H82&lt;&gt;"N"),"●","")</f>
        <v/>
      </c>
      <c r="L82" s="17">
        <f>IF(AND(ISNUMBER(SEARCH(","&amp;L$1&amp;",",","&amp;SUBSTITUTE(Catalogo!$F82," ","")&amp;",")),Catalogo!$H82&lt;&gt;"N"),"●","")</f>
        <v/>
      </c>
      <c r="M82" s="17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7">
        <f>IF(Catalogo!H83="","(vazio)",Catalogo!H83)</f>
        <v/>
      </c>
      <c r="D83" s="17">
        <f>IF(AND(ISNUMBER(SEARCH(","&amp;D$1&amp;",",","&amp;SUBSTITUTE(Catalogo!$F83," ","")&amp;",")),Catalogo!$H83&lt;&gt;"N"),"●","")</f>
        <v/>
      </c>
      <c r="E83" s="17">
        <f>IF(AND(ISNUMBER(SEARCH(","&amp;E$1&amp;",",","&amp;SUBSTITUTE(Catalogo!$F83," ","")&amp;",")),Catalogo!$H83&lt;&gt;"N"),"●","")</f>
        <v/>
      </c>
      <c r="F83" s="17">
        <f>IF(AND(ISNUMBER(SEARCH(","&amp;F$1&amp;",",","&amp;SUBSTITUTE(Catalogo!$F83," ","")&amp;",")),Catalogo!$H83&lt;&gt;"N"),"●","")</f>
        <v/>
      </c>
      <c r="G83" s="17">
        <f>IF(AND(ISNUMBER(SEARCH(","&amp;G$1&amp;",",","&amp;SUBSTITUTE(Catalogo!$F83," ","")&amp;",")),Catalogo!$H83&lt;&gt;"N"),"●","")</f>
        <v/>
      </c>
      <c r="H83" s="17">
        <f>IF(AND(ISNUMBER(SEARCH(","&amp;H$1&amp;",",","&amp;SUBSTITUTE(Catalogo!$F83," ","")&amp;",")),Catalogo!$H83&lt;&gt;"N"),"●","")</f>
        <v/>
      </c>
      <c r="I83" s="17">
        <f>IF(AND(ISNUMBER(SEARCH(","&amp;I$1&amp;",",","&amp;SUBSTITUTE(Catalogo!$F83," ","")&amp;",")),Catalogo!$H83&lt;&gt;"N"),"●","")</f>
        <v/>
      </c>
      <c r="J83" s="17">
        <f>IF(AND(ISNUMBER(SEARCH(","&amp;J$1&amp;",",","&amp;SUBSTITUTE(Catalogo!$F83," ","")&amp;",")),Catalogo!$H83&lt;&gt;"N"),"●","")</f>
        <v/>
      </c>
      <c r="K83" s="17">
        <f>IF(AND(ISNUMBER(SEARCH(","&amp;K$1&amp;",",","&amp;SUBSTITUTE(Catalogo!$F83," ","")&amp;",")),Catalogo!$H83&lt;&gt;"N"),"●","")</f>
        <v/>
      </c>
      <c r="L83" s="17">
        <f>IF(AND(ISNUMBER(SEARCH(","&amp;L$1&amp;",",","&amp;SUBSTITUTE(Catalogo!$F83," ","")&amp;",")),Catalogo!$H83&lt;&gt;"N"),"●","")</f>
        <v/>
      </c>
      <c r="M83" s="17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7">
        <f>IF(Catalogo!H84="","(vazio)",Catalogo!H84)</f>
        <v/>
      </c>
      <c r="D84" s="17">
        <f>IF(AND(ISNUMBER(SEARCH(","&amp;D$1&amp;",",","&amp;SUBSTITUTE(Catalogo!$F84," ","")&amp;",")),Catalogo!$H84&lt;&gt;"N"),"●","")</f>
        <v/>
      </c>
      <c r="E84" s="17">
        <f>IF(AND(ISNUMBER(SEARCH(","&amp;E$1&amp;",",","&amp;SUBSTITUTE(Catalogo!$F84," ","")&amp;",")),Catalogo!$H84&lt;&gt;"N"),"●","")</f>
        <v/>
      </c>
      <c r="F84" s="17">
        <f>IF(AND(ISNUMBER(SEARCH(","&amp;F$1&amp;",",","&amp;SUBSTITUTE(Catalogo!$F84," ","")&amp;",")),Catalogo!$H84&lt;&gt;"N"),"●","")</f>
        <v/>
      </c>
      <c r="G84" s="17">
        <f>IF(AND(ISNUMBER(SEARCH(","&amp;G$1&amp;",",","&amp;SUBSTITUTE(Catalogo!$F84," ","")&amp;",")),Catalogo!$H84&lt;&gt;"N"),"●","")</f>
        <v/>
      </c>
      <c r="H84" s="17">
        <f>IF(AND(ISNUMBER(SEARCH(","&amp;H$1&amp;",",","&amp;SUBSTITUTE(Catalogo!$F84," ","")&amp;",")),Catalogo!$H84&lt;&gt;"N"),"●","")</f>
        <v/>
      </c>
      <c r="I84" s="17">
        <f>IF(AND(ISNUMBER(SEARCH(","&amp;I$1&amp;",",","&amp;SUBSTITUTE(Catalogo!$F84," ","")&amp;",")),Catalogo!$H84&lt;&gt;"N"),"●","")</f>
        <v/>
      </c>
      <c r="J84" s="17">
        <f>IF(AND(ISNUMBER(SEARCH(","&amp;J$1&amp;",",","&amp;SUBSTITUTE(Catalogo!$F84," ","")&amp;",")),Catalogo!$H84&lt;&gt;"N"),"●","")</f>
        <v/>
      </c>
      <c r="K84" s="17">
        <f>IF(AND(ISNUMBER(SEARCH(","&amp;K$1&amp;",",","&amp;SUBSTITUTE(Catalogo!$F84," ","")&amp;",")),Catalogo!$H84&lt;&gt;"N"),"●","")</f>
        <v/>
      </c>
      <c r="L84" s="17">
        <f>IF(AND(ISNUMBER(SEARCH(","&amp;L$1&amp;",",","&amp;SUBSTITUTE(Catalogo!$F84," ","")&amp;",")),Catalogo!$H84&lt;&gt;"N"),"●","")</f>
        <v/>
      </c>
      <c r="M84" s="17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7">
        <f>IF(Catalogo!H85="","(vazio)",Catalogo!H85)</f>
        <v/>
      </c>
      <c r="D85" s="17">
        <f>IF(AND(ISNUMBER(SEARCH(","&amp;D$1&amp;",",","&amp;SUBSTITUTE(Catalogo!$F85," ","")&amp;",")),Catalogo!$H85&lt;&gt;"N"),"●","")</f>
        <v/>
      </c>
      <c r="E85" s="17">
        <f>IF(AND(ISNUMBER(SEARCH(","&amp;E$1&amp;",",","&amp;SUBSTITUTE(Catalogo!$F85," ","")&amp;",")),Catalogo!$H85&lt;&gt;"N"),"●","")</f>
        <v/>
      </c>
      <c r="F85" s="17">
        <f>IF(AND(ISNUMBER(SEARCH(","&amp;F$1&amp;",",","&amp;SUBSTITUTE(Catalogo!$F85," ","")&amp;",")),Catalogo!$H85&lt;&gt;"N"),"●","")</f>
        <v/>
      </c>
      <c r="G85" s="17">
        <f>IF(AND(ISNUMBER(SEARCH(","&amp;G$1&amp;",",","&amp;SUBSTITUTE(Catalogo!$F85," ","")&amp;",")),Catalogo!$H85&lt;&gt;"N"),"●","")</f>
        <v/>
      </c>
      <c r="H85" s="17">
        <f>IF(AND(ISNUMBER(SEARCH(","&amp;H$1&amp;",",","&amp;SUBSTITUTE(Catalogo!$F85," ","")&amp;",")),Catalogo!$H85&lt;&gt;"N"),"●","")</f>
        <v/>
      </c>
      <c r="I85" s="17">
        <f>IF(AND(ISNUMBER(SEARCH(","&amp;I$1&amp;",",","&amp;SUBSTITUTE(Catalogo!$F85," ","")&amp;",")),Catalogo!$H85&lt;&gt;"N"),"●","")</f>
        <v/>
      </c>
      <c r="J85" s="17">
        <f>IF(AND(ISNUMBER(SEARCH(","&amp;J$1&amp;",",","&amp;SUBSTITUTE(Catalogo!$F85," ","")&amp;",")),Catalogo!$H85&lt;&gt;"N"),"●","")</f>
        <v/>
      </c>
      <c r="K85" s="17">
        <f>IF(AND(ISNUMBER(SEARCH(","&amp;K$1&amp;",",","&amp;SUBSTITUTE(Catalogo!$F85," ","")&amp;",")),Catalogo!$H85&lt;&gt;"N"),"●","")</f>
        <v/>
      </c>
      <c r="L85" s="17">
        <f>IF(AND(ISNUMBER(SEARCH(","&amp;L$1&amp;",",","&amp;SUBSTITUTE(Catalogo!$F85," ","")&amp;",")),Catalogo!$H85&lt;&gt;"N"),"●","")</f>
        <v/>
      </c>
      <c r="M85" s="17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7">
        <f>IF(Catalogo!H86="","(vazio)",Catalogo!H86)</f>
        <v/>
      </c>
      <c r="D86" s="17">
        <f>IF(AND(ISNUMBER(SEARCH(","&amp;D$1&amp;",",","&amp;SUBSTITUTE(Catalogo!$F86," ","")&amp;",")),Catalogo!$H86&lt;&gt;"N"),"●","")</f>
        <v/>
      </c>
      <c r="E86" s="17">
        <f>IF(AND(ISNUMBER(SEARCH(","&amp;E$1&amp;",",","&amp;SUBSTITUTE(Catalogo!$F86," ","")&amp;",")),Catalogo!$H86&lt;&gt;"N"),"●","")</f>
        <v/>
      </c>
      <c r="F86" s="17">
        <f>IF(AND(ISNUMBER(SEARCH(","&amp;F$1&amp;",",","&amp;SUBSTITUTE(Catalogo!$F86," ","")&amp;",")),Catalogo!$H86&lt;&gt;"N"),"●","")</f>
        <v/>
      </c>
      <c r="G86" s="17">
        <f>IF(AND(ISNUMBER(SEARCH(","&amp;G$1&amp;",",","&amp;SUBSTITUTE(Catalogo!$F86," ","")&amp;",")),Catalogo!$H86&lt;&gt;"N"),"●","")</f>
        <v/>
      </c>
      <c r="H86" s="17">
        <f>IF(AND(ISNUMBER(SEARCH(","&amp;H$1&amp;",",","&amp;SUBSTITUTE(Catalogo!$F86," ","")&amp;",")),Catalogo!$H86&lt;&gt;"N"),"●","")</f>
        <v/>
      </c>
      <c r="I86" s="17">
        <f>IF(AND(ISNUMBER(SEARCH(","&amp;I$1&amp;",",","&amp;SUBSTITUTE(Catalogo!$F86," ","")&amp;",")),Catalogo!$H86&lt;&gt;"N"),"●","")</f>
        <v/>
      </c>
      <c r="J86" s="17">
        <f>IF(AND(ISNUMBER(SEARCH(","&amp;J$1&amp;",",","&amp;SUBSTITUTE(Catalogo!$F86," ","")&amp;",")),Catalogo!$H86&lt;&gt;"N"),"●","")</f>
        <v/>
      </c>
      <c r="K86" s="17">
        <f>IF(AND(ISNUMBER(SEARCH(","&amp;K$1&amp;",",","&amp;SUBSTITUTE(Catalogo!$F86," ","")&amp;",")),Catalogo!$H86&lt;&gt;"N"),"●","")</f>
        <v/>
      </c>
      <c r="L86" s="17">
        <f>IF(AND(ISNUMBER(SEARCH(","&amp;L$1&amp;",",","&amp;SUBSTITUTE(Catalogo!$F86," ","")&amp;",")),Catalogo!$H86&lt;&gt;"N"),"●","")</f>
        <v/>
      </c>
      <c r="M86" s="17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7">
        <f>IF(Catalogo!H87="","(vazio)",Catalogo!H87)</f>
        <v/>
      </c>
      <c r="D87" s="17">
        <f>IF(AND(ISNUMBER(SEARCH(","&amp;D$1&amp;",",","&amp;SUBSTITUTE(Catalogo!$F87," ","")&amp;",")),Catalogo!$H87&lt;&gt;"N"),"●","")</f>
        <v/>
      </c>
      <c r="E87" s="17">
        <f>IF(AND(ISNUMBER(SEARCH(","&amp;E$1&amp;",",","&amp;SUBSTITUTE(Catalogo!$F87," ","")&amp;",")),Catalogo!$H87&lt;&gt;"N"),"●","")</f>
        <v/>
      </c>
      <c r="F87" s="17">
        <f>IF(AND(ISNUMBER(SEARCH(","&amp;F$1&amp;",",","&amp;SUBSTITUTE(Catalogo!$F87," ","")&amp;",")),Catalogo!$H87&lt;&gt;"N"),"●","")</f>
        <v/>
      </c>
      <c r="G87" s="17">
        <f>IF(AND(ISNUMBER(SEARCH(","&amp;G$1&amp;",",","&amp;SUBSTITUTE(Catalogo!$F87," ","")&amp;",")),Catalogo!$H87&lt;&gt;"N"),"●","")</f>
        <v/>
      </c>
      <c r="H87" s="17">
        <f>IF(AND(ISNUMBER(SEARCH(","&amp;H$1&amp;",",","&amp;SUBSTITUTE(Catalogo!$F87," ","")&amp;",")),Catalogo!$H87&lt;&gt;"N"),"●","")</f>
        <v/>
      </c>
      <c r="I87" s="17">
        <f>IF(AND(ISNUMBER(SEARCH(","&amp;I$1&amp;",",","&amp;SUBSTITUTE(Catalogo!$F87," ","")&amp;",")),Catalogo!$H87&lt;&gt;"N"),"●","")</f>
        <v/>
      </c>
      <c r="J87" s="17">
        <f>IF(AND(ISNUMBER(SEARCH(","&amp;J$1&amp;",",","&amp;SUBSTITUTE(Catalogo!$F87," ","")&amp;",")),Catalogo!$H87&lt;&gt;"N"),"●","")</f>
        <v/>
      </c>
      <c r="K87" s="17">
        <f>IF(AND(ISNUMBER(SEARCH(","&amp;K$1&amp;",",","&amp;SUBSTITUTE(Catalogo!$F87," ","")&amp;",")),Catalogo!$H87&lt;&gt;"N"),"●","")</f>
        <v/>
      </c>
      <c r="L87" s="17">
        <f>IF(AND(ISNUMBER(SEARCH(","&amp;L$1&amp;",",","&amp;SUBSTITUTE(Catalogo!$F87," ","")&amp;",")),Catalogo!$H87&lt;&gt;"N"),"●","")</f>
        <v/>
      </c>
      <c r="M87" s="17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7">
        <f>IF(Catalogo!H88="","(vazio)",Catalogo!H88)</f>
        <v/>
      </c>
      <c r="D88" s="17">
        <f>IF(AND(ISNUMBER(SEARCH(","&amp;D$1&amp;",",","&amp;SUBSTITUTE(Catalogo!$F88," ","")&amp;",")),Catalogo!$H88&lt;&gt;"N"),"●","")</f>
        <v/>
      </c>
      <c r="E88" s="17">
        <f>IF(AND(ISNUMBER(SEARCH(","&amp;E$1&amp;",",","&amp;SUBSTITUTE(Catalogo!$F88," ","")&amp;",")),Catalogo!$H88&lt;&gt;"N"),"●","")</f>
        <v/>
      </c>
      <c r="F88" s="17">
        <f>IF(AND(ISNUMBER(SEARCH(","&amp;F$1&amp;",",","&amp;SUBSTITUTE(Catalogo!$F88," ","")&amp;",")),Catalogo!$H88&lt;&gt;"N"),"●","")</f>
        <v/>
      </c>
      <c r="G88" s="17">
        <f>IF(AND(ISNUMBER(SEARCH(","&amp;G$1&amp;",",","&amp;SUBSTITUTE(Catalogo!$F88," ","")&amp;",")),Catalogo!$H88&lt;&gt;"N"),"●","")</f>
        <v/>
      </c>
      <c r="H88" s="17">
        <f>IF(AND(ISNUMBER(SEARCH(","&amp;H$1&amp;",",","&amp;SUBSTITUTE(Catalogo!$F88," ","")&amp;",")),Catalogo!$H88&lt;&gt;"N"),"●","")</f>
        <v/>
      </c>
      <c r="I88" s="17">
        <f>IF(AND(ISNUMBER(SEARCH(","&amp;I$1&amp;",",","&amp;SUBSTITUTE(Catalogo!$F88," ","")&amp;",")),Catalogo!$H88&lt;&gt;"N"),"●","")</f>
        <v/>
      </c>
      <c r="J88" s="17">
        <f>IF(AND(ISNUMBER(SEARCH(","&amp;J$1&amp;",",","&amp;SUBSTITUTE(Catalogo!$F88," ","")&amp;",")),Catalogo!$H88&lt;&gt;"N"),"●","")</f>
        <v/>
      </c>
      <c r="K88" s="17">
        <f>IF(AND(ISNUMBER(SEARCH(","&amp;K$1&amp;",",","&amp;SUBSTITUTE(Catalogo!$F88," ","")&amp;",")),Catalogo!$H88&lt;&gt;"N"),"●","")</f>
        <v/>
      </c>
      <c r="L88" s="17">
        <f>IF(AND(ISNUMBER(SEARCH(","&amp;L$1&amp;",",","&amp;SUBSTITUTE(Catalogo!$F88," ","")&amp;",")),Catalogo!$H88&lt;&gt;"N"),"●","")</f>
        <v/>
      </c>
      <c r="M88" s="17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7">
        <f>IF(Catalogo!H89="","(vazio)",Catalogo!H89)</f>
        <v/>
      </c>
      <c r="D89" s="17">
        <f>IF(AND(ISNUMBER(SEARCH(","&amp;D$1&amp;",",","&amp;SUBSTITUTE(Catalogo!$F89," ","")&amp;",")),Catalogo!$H89&lt;&gt;"N"),"●","")</f>
        <v/>
      </c>
      <c r="E89" s="17">
        <f>IF(AND(ISNUMBER(SEARCH(","&amp;E$1&amp;",",","&amp;SUBSTITUTE(Catalogo!$F89," ","")&amp;",")),Catalogo!$H89&lt;&gt;"N"),"●","")</f>
        <v/>
      </c>
      <c r="F89" s="17">
        <f>IF(AND(ISNUMBER(SEARCH(","&amp;F$1&amp;",",","&amp;SUBSTITUTE(Catalogo!$F89," ","")&amp;",")),Catalogo!$H89&lt;&gt;"N"),"●","")</f>
        <v/>
      </c>
      <c r="G89" s="17">
        <f>IF(AND(ISNUMBER(SEARCH(","&amp;G$1&amp;",",","&amp;SUBSTITUTE(Catalogo!$F89," ","")&amp;",")),Catalogo!$H89&lt;&gt;"N"),"●","")</f>
        <v/>
      </c>
      <c r="H89" s="17">
        <f>IF(AND(ISNUMBER(SEARCH(","&amp;H$1&amp;",",","&amp;SUBSTITUTE(Catalogo!$F89," ","")&amp;",")),Catalogo!$H89&lt;&gt;"N"),"●","")</f>
        <v/>
      </c>
      <c r="I89" s="17">
        <f>IF(AND(ISNUMBER(SEARCH(","&amp;I$1&amp;",",","&amp;SUBSTITUTE(Catalogo!$F89," ","")&amp;",")),Catalogo!$H89&lt;&gt;"N"),"●","")</f>
        <v/>
      </c>
      <c r="J89" s="17">
        <f>IF(AND(ISNUMBER(SEARCH(","&amp;J$1&amp;",",","&amp;SUBSTITUTE(Catalogo!$F89," ","")&amp;",")),Catalogo!$H89&lt;&gt;"N"),"●","")</f>
        <v/>
      </c>
      <c r="K89" s="17">
        <f>IF(AND(ISNUMBER(SEARCH(","&amp;K$1&amp;",",","&amp;SUBSTITUTE(Catalogo!$F89," ","")&amp;",")),Catalogo!$H89&lt;&gt;"N"),"●","")</f>
        <v/>
      </c>
      <c r="L89" s="17">
        <f>IF(AND(ISNUMBER(SEARCH(","&amp;L$1&amp;",",","&amp;SUBSTITUTE(Catalogo!$F89," ","")&amp;",")),Catalogo!$H89&lt;&gt;"N"),"●","")</f>
        <v/>
      </c>
      <c r="M89" s="17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7">
        <f>IF(Catalogo!H90="","(vazio)",Catalogo!H90)</f>
        <v/>
      </c>
      <c r="D90" s="17">
        <f>IF(AND(ISNUMBER(SEARCH(","&amp;D$1&amp;",",","&amp;SUBSTITUTE(Catalogo!$F90," ","")&amp;",")),Catalogo!$H90&lt;&gt;"N"),"●","")</f>
        <v/>
      </c>
      <c r="E90" s="17">
        <f>IF(AND(ISNUMBER(SEARCH(","&amp;E$1&amp;",",","&amp;SUBSTITUTE(Catalogo!$F90," ","")&amp;",")),Catalogo!$H90&lt;&gt;"N"),"●","")</f>
        <v/>
      </c>
      <c r="F90" s="17">
        <f>IF(AND(ISNUMBER(SEARCH(","&amp;F$1&amp;",",","&amp;SUBSTITUTE(Catalogo!$F90," ","")&amp;",")),Catalogo!$H90&lt;&gt;"N"),"●","")</f>
        <v/>
      </c>
      <c r="G90" s="17">
        <f>IF(AND(ISNUMBER(SEARCH(","&amp;G$1&amp;",",","&amp;SUBSTITUTE(Catalogo!$F90," ","")&amp;",")),Catalogo!$H90&lt;&gt;"N"),"●","")</f>
        <v/>
      </c>
      <c r="H90" s="17">
        <f>IF(AND(ISNUMBER(SEARCH(","&amp;H$1&amp;",",","&amp;SUBSTITUTE(Catalogo!$F90," ","")&amp;",")),Catalogo!$H90&lt;&gt;"N"),"●","")</f>
        <v/>
      </c>
      <c r="I90" s="17">
        <f>IF(AND(ISNUMBER(SEARCH(","&amp;I$1&amp;",",","&amp;SUBSTITUTE(Catalogo!$F90," ","")&amp;",")),Catalogo!$H90&lt;&gt;"N"),"●","")</f>
        <v/>
      </c>
      <c r="J90" s="17">
        <f>IF(AND(ISNUMBER(SEARCH(","&amp;J$1&amp;",",","&amp;SUBSTITUTE(Catalogo!$F90," ","")&amp;",")),Catalogo!$H90&lt;&gt;"N"),"●","")</f>
        <v/>
      </c>
      <c r="K90" s="17">
        <f>IF(AND(ISNUMBER(SEARCH(","&amp;K$1&amp;",",","&amp;SUBSTITUTE(Catalogo!$F90," ","")&amp;",")),Catalogo!$H90&lt;&gt;"N"),"●","")</f>
        <v/>
      </c>
      <c r="L90" s="17">
        <f>IF(AND(ISNUMBER(SEARCH(","&amp;L$1&amp;",",","&amp;SUBSTITUTE(Catalogo!$F90," ","")&amp;",")),Catalogo!$H90&lt;&gt;"N"),"●","")</f>
        <v/>
      </c>
      <c r="M90" s="17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7">
        <f>IF(Catalogo!H91="","(vazio)",Catalogo!H91)</f>
        <v/>
      </c>
      <c r="D91" s="17">
        <f>IF(AND(ISNUMBER(SEARCH(","&amp;D$1&amp;",",","&amp;SUBSTITUTE(Catalogo!$F91," ","")&amp;",")),Catalogo!$H91&lt;&gt;"N"),"●","")</f>
        <v/>
      </c>
      <c r="E91" s="17">
        <f>IF(AND(ISNUMBER(SEARCH(","&amp;E$1&amp;",",","&amp;SUBSTITUTE(Catalogo!$F91," ","")&amp;",")),Catalogo!$H91&lt;&gt;"N"),"●","")</f>
        <v/>
      </c>
      <c r="F91" s="17">
        <f>IF(AND(ISNUMBER(SEARCH(","&amp;F$1&amp;",",","&amp;SUBSTITUTE(Catalogo!$F91," ","")&amp;",")),Catalogo!$H91&lt;&gt;"N"),"●","")</f>
        <v/>
      </c>
      <c r="G91" s="17">
        <f>IF(AND(ISNUMBER(SEARCH(","&amp;G$1&amp;",",","&amp;SUBSTITUTE(Catalogo!$F91," ","")&amp;",")),Catalogo!$H91&lt;&gt;"N"),"●","")</f>
        <v/>
      </c>
      <c r="H91" s="17">
        <f>IF(AND(ISNUMBER(SEARCH(","&amp;H$1&amp;",",","&amp;SUBSTITUTE(Catalogo!$F91," ","")&amp;",")),Catalogo!$H91&lt;&gt;"N"),"●","")</f>
        <v/>
      </c>
      <c r="I91" s="17">
        <f>IF(AND(ISNUMBER(SEARCH(","&amp;I$1&amp;",",","&amp;SUBSTITUTE(Catalogo!$F91," ","")&amp;",")),Catalogo!$H91&lt;&gt;"N"),"●","")</f>
        <v/>
      </c>
      <c r="J91" s="17">
        <f>IF(AND(ISNUMBER(SEARCH(","&amp;J$1&amp;",",","&amp;SUBSTITUTE(Catalogo!$F91," ","")&amp;",")),Catalogo!$H91&lt;&gt;"N"),"●","")</f>
        <v/>
      </c>
      <c r="K91" s="17">
        <f>IF(AND(ISNUMBER(SEARCH(","&amp;K$1&amp;",",","&amp;SUBSTITUTE(Catalogo!$F91," ","")&amp;",")),Catalogo!$H91&lt;&gt;"N"),"●","")</f>
        <v/>
      </c>
      <c r="L91" s="17">
        <f>IF(AND(ISNUMBER(SEARCH(","&amp;L$1&amp;",",","&amp;SUBSTITUTE(Catalogo!$F91," ","")&amp;",")),Catalogo!$H91&lt;&gt;"N"),"●","")</f>
        <v/>
      </c>
      <c r="M91" s="17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7">
        <f>IF(Catalogo!H92="","(vazio)",Catalogo!H92)</f>
        <v/>
      </c>
      <c r="D92" s="17">
        <f>IF(AND(ISNUMBER(SEARCH(","&amp;D$1&amp;",",","&amp;SUBSTITUTE(Catalogo!$F92," ","")&amp;",")),Catalogo!$H92&lt;&gt;"N"),"●","")</f>
        <v/>
      </c>
      <c r="E92" s="17">
        <f>IF(AND(ISNUMBER(SEARCH(","&amp;E$1&amp;",",","&amp;SUBSTITUTE(Catalogo!$F92," ","")&amp;",")),Catalogo!$H92&lt;&gt;"N"),"●","")</f>
        <v/>
      </c>
      <c r="F92" s="17">
        <f>IF(AND(ISNUMBER(SEARCH(","&amp;F$1&amp;",",","&amp;SUBSTITUTE(Catalogo!$F92," ","")&amp;",")),Catalogo!$H92&lt;&gt;"N"),"●","")</f>
        <v/>
      </c>
      <c r="G92" s="17">
        <f>IF(AND(ISNUMBER(SEARCH(","&amp;G$1&amp;",",","&amp;SUBSTITUTE(Catalogo!$F92," ","")&amp;",")),Catalogo!$H92&lt;&gt;"N"),"●","")</f>
        <v/>
      </c>
      <c r="H92" s="17">
        <f>IF(AND(ISNUMBER(SEARCH(","&amp;H$1&amp;",",","&amp;SUBSTITUTE(Catalogo!$F92," ","")&amp;",")),Catalogo!$H92&lt;&gt;"N"),"●","")</f>
        <v/>
      </c>
      <c r="I92" s="17">
        <f>IF(AND(ISNUMBER(SEARCH(","&amp;I$1&amp;",",","&amp;SUBSTITUTE(Catalogo!$F92," ","")&amp;",")),Catalogo!$H92&lt;&gt;"N"),"●","")</f>
        <v/>
      </c>
      <c r="J92" s="17">
        <f>IF(AND(ISNUMBER(SEARCH(","&amp;J$1&amp;",",","&amp;SUBSTITUTE(Catalogo!$F92," ","")&amp;",")),Catalogo!$H92&lt;&gt;"N"),"●","")</f>
        <v/>
      </c>
      <c r="K92" s="17">
        <f>IF(AND(ISNUMBER(SEARCH(","&amp;K$1&amp;",",","&amp;SUBSTITUTE(Catalogo!$F92," ","")&amp;",")),Catalogo!$H92&lt;&gt;"N"),"●","")</f>
        <v/>
      </c>
      <c r="L92" s="17">
        <f>IF(AND(ISNUMBER(SEARCH(","&amp;L$1&amp;",",","&amp;SUBSTITUTE(Catalogo!$F92," ","")&amp;",")),Catalogo!$H92&lt;&gt;"N"),"●","")</f>
        <v/>
      </c>
      <c r="M92" s="17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7">
        <f>IF(Catalogo!H93="","(vazio)",Catalogo!H93)</f>
        <v/>
      </c>
      <c r="D93" s="17">
        <f>IF(AND(ISNUMBER(SEARCH(","&amp;D$1&amp;",",","&amp;SUBSTITUTE(Catalogo!$F93," ","")&amp;",")),Catalogo!$H93&lt;&gt;"N"),"●","")</f>
        <v/>
      </c>
      <c r="E93" s="17">
        <f>IF(AND(ISNUMBER(SEARCH(","&amp;E$1&amp;",",","&amp;SUBSTITUTE(Catalogo!$F93," ","")&amp;",")),Catalogo!$H93&lt;&gt;"N"),"●","")</f>
        <v/>
      </c>
      <c r="F93" s="17">
        <f>IF(AND(ISNUMBER(SEARCH(","&amp;F$1&amp;",",","&amp;SUBSTITUTE(Catalogo!$F93," ","")&amp;",")),Catalogo!$H93&lt;&gt;"N"),"●","")</f>
        <v/>
      </c>
      <c r="G93" s="17">
        <f>IF(AND(ISNUMBER(SEARCH(","&amp;G$1&amp;",",","&amp;SUBSTITUTE(Catalogo!$F93," ","")&amp;",")),Catalogo!$H93&lt;&gt;"N"),"●","")</f>
        <v/>
      </c>
      <c r="H93" s="17">
        <f>IF(AND(ISNUMBER(SEARCH(","&amp;H$1&amp;",",","&amp;SUBSTITUTE(Catalogo!$F93," ","")&amp;",")),Catalogo!$H93&lt;&gt;"N"),"●","")</f>
        <v/>
      </c>
      <c r="I93" s="17">
        <f>IF(AND(ISNUMBER(SEARCH(","&amp;I$1&amp;",",","&amp;SUBSTITUTE(Catalogo!$F93," ","")&amp;",")),Catalogo!$H93&lt;&gt;"N"),"●","")</f>
        <v/>
      </c>
      <c r="J93" s="17">
        <f>IF(AND(ISNUMBER(SEARCH(","&amp;J$1&amp;",",","&amp;SUBSTITUTE(Catalogo!$F93," ","")&amp;",")),Catalogo!$H93&lt;&gt;"N"),"●","")</f>
        <v/>
      </c>
      <c r="K93" s="17">
        <f>IF(AND(ISNUMBER(SEARCH(","&amp;K$1&amp;",",","&amp;SUBSTITUTE(Catalogo!$F93," ","")&amp;",")),Catalogo!$H93&lt;&gt;"N"),"●","")</f>
        <v/>
      </c>
      <c r="L93" s="17">
        <f>IF(AND(ISNUMBER(SEARCH(","&amp;L$1&amp;",",","&amp;SUBSTITUTE(Catalogo!$F93," ","")&amp;",")),Catalogo!$H93&lt;&gt;"N"),"●","")</f>
        <v/>
      </c>
      <c r="M93" s="17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7">
        <f>IF(Catalogo!H94="","(vazio)",Catalogo!H94)</f>
        <v/>
      </c>
      <c r="D94" s="17">
        <f>IF(AND(ISNUMBER(SEARCH(","&amp;D$1&amp;",",","&amp;SUBSTITUTE(Catalogo!$F94," ","")&amp;",")),Catalogo!$H94&lt;&gt;"N"),"●","")</f>
        <v/>
      </c>
      <c r="E94" s="17">
        <f>IF(AND(ISNUMBER(SEARCH(","&amp;E$1&amp;",",","&amp;SUBSTITUTE(Catalogo!$F94," ","")&amp;",")),Catalogo!$H94&lt;&gt;"N"),"●","")</f>
        <v/>
      </c>
      <c r="F94" s="17">
        <f>IF(AND(ISNUMBER(SEARCH(","&amp;F$1&amp;",",","&amp;SUBSTITUTE(Catalogo!$F94," ","")&amp;",")),Catalogo!$H94&lt;&gt;"N"),"●","")</f>
        <v/>
      </c>
      <c r="G94" s="17">
        <f>IF(AND(ISNUMBER(SEARCH(","&amp;G$1&amp;",",","&amp;SUBSTITUTE(Catalogo!$F94," ","")&amp;",")),Catalogo!$H94&lt;&gt;"N"),"●","")</f>
        <v/>
      </c>
      <c r="H94" s="17">
        <f>IF(AND(ISNUMBER(SEARCH(","&amp;H$1&amp;",",","&amp;SUBSTITUTE(Catalogo!$F94," ","")&amp;",")),Catalogo!$H94&lt;&gt;"N"),"●","")</f>
        <v/>
      </c>
      <c r="I94" s="17">
        <f>IF(AND(ISNUMBER(SEARCH(","&amp;I$1&amp;",",","&amp;SUBSTITUTE(Catalogo!$F94," ","")&amp;",")),Catalogo!$H94&lt;&gt;"N"),"●","")</f>
        <v/>
      </c>
      <c r="J94" s="17">
        <f>IF(AND(ISNUMBER(SEARCH(","&amp;J$1&amp;",",","&amp;SUBSTITUTE(Catalogo!$F94," ","")&amp;",")),Catalogo!$H94&lt;&gt;"N"),"●","")</f>
        <v/>
      </c>
      <c r="K94" s="17">
        <f>IF(AND(ISNUMBER(SEARCH(","&amp;K$1&amp;",",","&amp;SUBSTITUTE(Catalogo!$F94," ","")&amp;",")),Catalogo!$H94&lt;&gt;"N"),"●","")</f>
        <v/>
      </c>
      <c r="L94" s="17">
        <f>IF(AND(ISNUMBER(SEARCH(","&amp;L$1&amp;",",","&amp;SUBSTITUTE(Catalogo!$F94," ","")&amp;",")),Catalogo!$H94&lt;&gt;"N"),"●","")</f>
        <v/>
      </c>
      <c r="M94" s="17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7">
        <f>IF(Catalogo!H95="","(vazio)",Catalogo!H95)</f>
        <v/>
      </c>
      <c r="D95" s="17">
        <f>IF(AND(ISNUMBER(SEARCH(","&amp;D$1&amp;",",","&amp;SUBSTITUTE(Catalogo!$F95," ","")&amp;",")),Catalogo!$H95&lt;&gt;"N"),"●","")</f>
        <v/>
      </c>
      <c r="E95" s="17">
        <f>IF(AND(ISNUMBER(SEARCH(","&amp;E$1&amp;",",","&amp;SUBSTITUTE(Catalogo!$F95," ","")&amp;",")),Catalogo!$H95&lt;&gt;"N"),"●","")</f>
        <v/>
      </c>
      <c r="F95" s="17">
        <f>IF(AND(ISNUMBER(SEARCH(","&amp;F$1&amp;",",","&amp;SUBSTITUTE(Catalogo!$F95," ","")&amp;",")),Catalogo!$H95&lt;&gt;"N"),"●","")</f>
        <v/>
      </c>
      <c r="G95" s="17">
        <f>IF(AND(ISNUMBER(SEARCH(","&amp;G$1&amp;",",","&amp;SUBSTITUTE(Catalogo!$F95," ","")&amp;",")),Catalogo!$H95&lt;&gt;"N"),"●","")</f>
        <v/>
      </c>
      <c r="H95" s="17">
        <f>IF(AND(ISNUMBER(SEARCH(","&amp;H$1&amp;",",","&amp;SUBSTITUTE(Catalogo!$F95," ","")&amp;",")),Catalogo!$H95&lt;&gt;"N"),"●","")</f>
        <v/>
      </c>
      <c r="I95" s="17">
        <f>IF(AND(ISNUMBER(SEARCH(","&amp;I$1&amp;",",","&amp;SUBSTITUTE(Catalogo!$F95," ","")&amp;",")),Catalogo!$H95&lt;&gt;"N"),"●","")</f>
        <v/>
      </c>
      <c r="J95" s="17">
        <f>IF(AND(ISNUMBER(SEARCH(","&amp;J$1&amp;",",","&amp;SUBSTITUTE(Catalogo!$F95," ","")&amp;",")),Catalogo!$H95&lt;&gt;"N"),"●","")</f>
        <v/>
      </c>
      <c r="K95" s="17">
        <f>IF(AND(ISNUMBER(SEARCH(","&amp;K$1&amp;",",","&amp;SUBSTITUTE(Catalogo!$F95," ","")&amp;",")),Catalogo!$H95&lt;&gt;"N"),"●","")</f>
        <v/>
      </c>
      <c r="L95" s="17">
        <f>IF(AND(ISNUMBER(SEARCH(","&amp;L$1&amp;",",","&amp;SUBSTITUTE(Catalogo!$F95," ","")&amp;",")),Catalogo!$H95&lt;&gt;"N"),"●","")</f>
        <v/>
      </c>
      <c r="M95" s="17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7">
        <f>IF(Catalogo!H96="","(vazio)",Catalogo!H96)</f>
        <v/>
      </c>
      <c r="D96" s="17">
        <f>IF(AND(ISNUMBER(SEARCH(","&amp;D$1&amp;",",","&amp;SUBSTITUTE(Catalogo!$F96," ","")&amp;",")),Catalogo!$H96&lt;&gt;"N"),"●","")</f>
        <v/>
      </c>
      <c r="E96" s="17">
        <f>IF(AND(ISNUMBER(SEARCH(","&amp;E$1&amp;",",","&amp;SUBSTITUTE(Catalogo!$F96," ","")&amp;",")),Catalogo!$H96&lt;&gt;"N"),"●","")</f>
        <v/>
      </c>
      <c r="F96" s="17">
        <f>IF(AND(ISNUMBER(SEARCH(","&amp;F$1&amp;",",","&amp;SUBSTITUTE(Catalogo!$F96," ","")&amp;",")),Catalogo!$H96&lt;&gt;"N"),"●","")</f>
        <v/>
      </c>
      <c r="G96" s="17">
        <f>IF(AND(ISNUMBER(SEARCH(","&amp;G$1&amp;",",","&amp;SUBSTITUTE(Catalogo!$F96," ","")&amp;",")),Catalogo!$H96&lt;&gt;"N"),"●","")</f>
        <v/>
      </c>
      <c r="H96" s="17">
        <f>IF(AND(ISNUMBER(SEARCH(","&amp;H$1&amp;",",","&amp;SUBSTITUTE(Catalogo!$F96," ","")&amp;",")),Catalogo!$H96&lt;&gt;"N"),"●","")</f>
        <v/>
      </c>
      <c r="I96" s="17">
        <f>IF(AND(ISNUMBER(SEARCH(","&amp;I$1&amp;",",","&amp;SUBSTITUTE(Catalogo!$F96," ","")&amp;",")),Catalogo!$H96&lt;&gt;"N"),"●","")</f>
        <v/>
      </c>
      <c r="J96" s="17">
        <f>IF(AND(ISNUMBER(SEARCH(","&amp;J$1&amp;",",","&amp;SUBSTITUTE(Catalogo!$F96," ","")&amp;",")),Catalogo!$H96&lt;&gt;"N"),"●","")</f>
        <v/>
      </c>
      <c r="K96" s="17">
        <f>IF(AND(ISNUMBER(SEARCH(","&amp;K$1&amp;",",","&amp;SUBSTITUTE(Catalogo!$F96," ","")&amp;",")),Catalogo!$H96&lt;&gt;"N"),"●","")</f>
        <v/>
      </c>
      <c r="L96" s="17">
        <f>IF(AND(ISNUMBER(SEARCH(","&amp;L$1&amp;",",","&amp;SUBSTITUTE(Catalogo!$F96," ","")&amp;",")),Catalogo!$H96&lt;&gt;"N"),"●","")</f>
        <v/>
      </c>
      <c r="M96" s="17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7">
        <f>IF(Catalogo!H97="","(vazio)",Catalogo!H97)</f>
        <v/>
      </c>
      <c r="D97" s="17">
        <f>IF(AND(ISNUMBER(SEARCH(","&amp;D$1&amp;",",","&amp;SUBSTITUTE(Catalogo!$F97," ","")&amp;",")),Catalogo!$H97&lt;&gt;"N"),"●","")</f>
        <v/>
      </c>
      <c r="E97" s="17">
        <f>IF(AND(ISNUMBER(SEARCH(","&amp;E$1&amp;",",","&amp;SUBSTITUTE(Catalogo!$F97," ","")&amp;",")),Catalogo!$H97&lt;&gt;"N"),"●","")</f>
        <v/>
      </c>
      <c r="F97" s="17">
        <f>IF(AND(ISNUMBER(SEARCH(","&amp;F$1&amp;",",","&amp;SUBSTITUTE(Catalogo!$F97," ","")&amp;",")),Catalogo!$H97&lt;&gt;"N"),"●","")</f>
        <v/>
      </c>
      <c r="G97" s="17">
        <f>IF(AND(ISNUMBER(SEARCH(","&amp;G$1&amp;",",","&amp;SUBSTITUTE(Catalogo!$F97," ","")&amp;",")),Catalogo!$H97&lt;&gt;"N"),"●","")</f>
        <v/>
      </c>
      <c r="H97" s="17">
        <f>IF(AND(ISNUMBER(SEARCH(","&amp;H$1&amp;",",","&amp;SUBSTITUTE(Catalogo!$F97," ","")&amp;",")),Catalogo!$H97&lt;&gt;"N"),"●","")</f>
        <v/>
      </c>
      <c r="I97" s="17">
        <f>IF(AND(ISNUMBER(SEARCH(","&amp;I$1&amp;",",","&amp;SUBSTITUTE(Catalogo!$F97," ","")&amp;",")),Catalogo!$H97&lt;&gt;"N"),"●","")</f>
        <v/>
      </c>
      <c r="J97" s="17">
        <f>IF(AND(ISNUMBER(SEARCH(","&amp;J$1&amp;",",","&amp;SUBSTITUTE(Catalogo!$F97," ","")&amp;",")),Catalogo!$H97&lt;&gt;"N"),"●","")</f>
        <v/>
      </c>
      <c r="K97" s="17">
        <f>IF(AND(ISNUMBER(SEARCH(","&amp;K$1&amp;",",","&amp;SUBSTITUTE(Catalogo!$F97," ","")&amp;",")),Catalogo!$H97&lt;&gt;"N"),"●","")</f>
        <v/>
      </c>
      <c r="L97" s="17">
        <f>IF(AND(ISNUMBER(SEARCH(","&amp;L$1&amp;",",","&amp;SUBSTITUTE(Catalogo!$F97," ","")&amp;",")),Catalogo!$H97&lt;&gt;"N"),"●","")</f>
        <v/>
      </c>
      <c r="M97" s="17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7">
        <f>IF(Catalogo!H98="","(vazio)",Catalogo!H98)</f>
        <v/>
      </c>
      <c r="D98" s="17">
        <f>IF(AND(ISNUMBER(SEARCH(","&amp;D$1&amp;",",","&amp;SUBSTITUTE(Catalogo!$F98," ","")&amp;",")),Catalogo!$H98&lt;&gt;"N"),"●","")</f>
        <v/>
      </c>
      <c r="E98" s="17">
        <f>IF(AND(ISNUMBER(SEARCH(","&amp;E$1&amp;",",","&amp;SUBSTITUTE(Catalogo!$F98," ","")&amp;",")),Catalogo!$H98&lt;&gt;"N"),"●","")</f>
        <v/>
      </c>
      <c r="F98" s="17">
        <f>IF(AND(ISNUMBER(SEARCH(","&amp;F$1&amp;",",","&amp;SUBSTITUTE(Catalogo!$F98," ","")&amp;",")),Catalogo!$H98&lt;&gt;"N"),"●","")</f>
        <v/>
      </c>
      <c r="G98" s="17">
        <f>IF(AND(ISNUMBER(SEARCH(","&amp;G$1&amp;",",","&amp;SUBSTITUTE(Catalogo!$F98," ","")&amp;",")),Catalogo!$H98&lt;&gt;"N"),"●","")</f>
        <v/>
      </c>
      <c r="H98" s="17">
        <f>IF(AND(ISNUMBER(SEARCH(","&amp;H$1&amp;",",","&amp;SUBSTITUTE(Catalogo!$F98," ","")&amp;",")),Catalogo!$H98&lt;&gt;"N"),"●","")</f>
        <v/>
      </c>
      <c r="I98" s="17">
        <f>IF(AND(ISNUMBER(SEARCH(","&amp;I$1&amp;",",","&amp;SUBSTITUTE(Catalogo!$F98," ","")&amp;",")),Catalogo!$H98&lt;&gt;"N"),"●","")</f>
        <v/>
      </c>
      <c r="J98" s="17">
        <f>IF(AND(ISNUMBER(SEARCH(","&amp;J$1&amp;",",","&amp;SUBSTITUTE(Catalogo!$F98," ","")&amp;",")),Catalogo!$H98&lt;&gt;"N"),"●","")</f>
        <v/>
      </c>
      <c r="K98" s="17">
        <f>IF(AND(ISNUMBER(SEARCH(","&amp;K$1&amp;",",","&amp;SUBSTITUTE(Catalogo!$F98," ","")&amp;",")),Catalogo!$H98&lt;&gt;"N"),"●","")</f>
        <v/>
      </c>
      <c r="L98" s="17">
        <f>IF(AND(ISNUMBER(SEARCH(","&amp;L$1&amp;",",","&amp;SUBSTITUTE(Catalogo!$F98," ","")&amp;",")),Catalogo!$H98&lt;&gt;"N"),"●","")</f>
        <v/>
      </c>
      <c r="M98" s="17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7">
        <f>IF(Catalogo!H99="","(vazio)",Catalogo!H99)</f>
        <v/>
      </c>
      <c r="D99" s="17">
        <f>IF(AND(ISNUMBER(SEARCH(","&amp;D$1&amp;",",","&amp;SUBSTITUTE(Catalogo!$F99," ","")&amp;",")),Catalogo!$H99&lt;&gt;"N"),"●","")</f>
        <v/>
      </c>
      <c r="E99" s="17">
        <f>IF(AND(ISNUMBER(SEARCH(","&amp;E$1&amp;",",","&amp;SUBSTITUTE(Catalogo!$F99," ","")&amp;",")),Catalogo!$H99&lt;&gt;"N"),"●","")</f>
        <v/>
      </c>
      <c r="F99" s="17">
        <f>IF(AND(ISNUMBER(SEARCH(","&amp;F$1&amp;",",","&amp;SUBSTITUTE(Catalogo!$F99," ","")&amp;",")),Catalogo!$H99&lt;&gt;"N"),"●","")</f>
        <v/>
      </c>
      <c r="G99" s="17">
        <f>IF(AND(ISNUMBER(SEARCH(","&amp;G$1&amp;",",","&amp;SUBSTITUTE(Catalogo!$F99," ","")&amp;",")),Catalogo!$H99&lt;&gt;"N"),"●","")</f>
        <v/>
      </c>
      <c r="H99" s="17">
        <f>IF(AND(ISNUMBER(SEARCH(","&amp;H$1&amp;",",","&amp;SUBSTITUTE(Catalogo!$F99," ","")&amp;",")),Catalogo!$H99&lt;&gt;"N"),"●","")</f>
        <v/>
      </c>
      <c r="I99" s="17">
        <f>IF(AND(ISNUMBER(SEARCH(","&amp;I$1&amp;",",","&amp;SUBSTITUTE(Catalogo!$F99," ","")&amp;",")),Catalogo!$H99&lt;&gt;"N"),"●","")</f>
        <v/>
      </c>
      <c r="J99" s="17">
        <f>IF(AND(ISNUMBER(SEARCH(","&amp;J$1&amp;",",","&amp;SUBSTITUTE(Catalogo!$F99," ","")&amp;",")),Catalogo!$H99&lt;&gt;"N"),"●","")</f>
        <v/>
      </c>
      <c r="K99" s="17">
        <f>IF(AND(ISNUMBER(SEARCH(","&amp;K$1&amp;",",","&amp;SUBSTITUTE(Catalogo!$F99," ","")&amp;",")),Catalogo!$H99&lt;&gt;"N"),"●","")</f>
        <v/>
      </c>
      <c r="L99" s="17">
        <f>IF(AND(ISNUMBER(SEARCH(","&amp;L$1&amp;",",","&amp;SUBSTITUTE(Catalogo!$F99," ","")&amp;",")),Catalogo!$H99&lt;&gt;"N"),"●","")</f>
        <v/>
      </c>
      <c r="M99" s="17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7">
        <f>IF(Catalogo!H100="","(vazio)",Catalogo!H100)</f>
        <v/>
      </c>
      <c r="D100" s="17">
        <f>IF(AND(ISNUMBER(SEARCH(","&amp;D$1&amp;",",","&amp;SUBSTITUTE(Catalogo!$F100," ","")&amp;",")),Catalogo!$H100&lt;&gt;"N"),"●","")</f>
        <v/>
      </c>
      <c r="E100" s="17">
        <f>IF(AND(ISNUMBER(SEARCH(","&amp;E$1&amp;",",","&amp;SUBSTITUTE(Catalogo!$F100," ","")&amp;",")),Catalogo!$H100&lt;&gt;"N"),"●","")</f>
        <v/>
      </c>
      <c r="F100" s="17">
        <f>IF(AND(ISNUMBER(SEARCH(","&amp;F$1&amp;",",","&amp;SUBSTITUTE(Catalogo!$F100," ","")&amp;",")),Catalogo!$H100&lt;&gt;"N"),"●","")</f>
        <v/>
      </c>
      <c r="G100" s="17">
        <f>IF(AND(ISNUMBER(SEARCH(","&amp;G$1&amp;",",","&amp;SUBSTITUTE(Catalogo!$F100," ","")&amp;",")),Catalogo!$H100&lt;&gt;"N"),"●","")</f>
        <v/>
      </c>
      <c r="H100" s="17">
        <f>IF(AND(ISNUMBER(SEARCH(","&amp;H$1&amp;",",","&amp;SUBSTITUTE(Catalogo!$F100," ","")&amp;",")),Catalogo!$H100&lt;&gt;"N"),"●","")</f>
        <v/>
      </c>
      <c r="I100" s="17">
        <f>IF(AND(ISNUMBER(SEARCH(","&amp;I$1&amp;",",","&amp;SUBSTITUTE(Catalogo!$F100," ","")&amp;",")),Catalogo!$H100&lt;&gt;"N"),"●","")</f>
        <v/>
      </c>
      <c r="J100" s="17">
        <f>IF(AND(ISNUMBER(SEARCH(","&amp;J$1&amp;",",","&amp;SUBSTITUTE(Catalogo!$F100," ","")&amp;",")),Catalogo!$H100&lt;&gt;"N"),"●","")</f>
        <v/>
      </c>
      <c r="K100" s="17">
        <f>IF(AND(ISNUMBER(SEARCH(","&amp;K$1&amp;",",","&amp;SUBSTITUTE(Catalogo!$F100," ","")&amp;",")),Catalogo!$H100&lt;&gt;"N"),"●","")</f>
        <v/>
      </c>
      <c r="L100" s="17">
        <f>IF(AND(ISNUMBER(SEARCH(","&amp;L$1&amp;",",","&amp;SUBSTITUTE(Catalogo!$F100," ","")&amp;",")),Catalogo!$H100&lt;&gt;"N"),"●","")</f>
        <v/>
      </c>
      <c r="M100" s="17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7">
        <f>IF(Catalogo!H101="","(vazio)",Catalogo!H101)</f>
        <v/>
      </c>
      <c r="D101" s="17">
        <f>IF(AND(ISNUMBER(SEARCH(","&amp;D$1&amp;",",","&amp;SUBSTITUTE(Catalogo!$F101," ","")&amp;",")),Catalogo!$H101&lt;&gt;"N"),"●","")</f>
        <v/>
      </c>
      <c r="E101" s="17">
        <f>IF(AND(ISNUMBER(SEARCH(","&amp;E$1&amp;",",","&amp;SUBSTITUTE(Catalogo!$F101," ","")&amp;",")),Catalogo!$H101&lt;&gt;"N"),"●","")</f>
        <v/>
      </c>
      <c r="F101" s="17">
        <f>IF(AND(ISNUMBER(SEARCH(","&amp;F$1&amp;",",","&amp;SUBSTITUTE(Catalogo!$F101," ","")&amp;",")),Catalogo!$H101&lt;&gt;"N"),"●","")</f>
        <v/>
      </c>
      <c r="G101" s="17">
        <f>IF(AND(ISNUMBER(SEARCH(","&amp;G$1&amp;",",","&amp;SUBSTITUTE(Catalogo!$F101," ","")&amp;",")),Catalogo!$H101&lt;&gt;"N"),"●","")</f>
        <v/>
      </c>
      <c r="H101" s="17">
        <f>IF(AND(ISNUMBER(SEARCH(","&amp;H$1&amp;",",","&amp;SUBSTITUTE(Catalogo!$F101," ","")&amp;",")),Catalogo!$H101&lt;&gt;"N"),"●","")</f>
        <v/>
      </c>
      <c r="I101" s="17">
        <f>IF(AND(ISNUMBER(SEARCH(","&amp;I$1&amp;",",","&amp;SUBSTITUTE(Catalogo!$F101," ","")&amp;",")),Catalogo!$H101&lt;&gt;"N"),"●","")</f>
        <v/>
      </c>
      <c r="J101" s="17">
        <f>IF(AND(ISNUMBER(SEARCH(","&amp;J$1&amp;",",","&amp;SUBSTITUTE(Catalogo!$F101," ","")&amp;",")),Catalogo!$H101&lt;&gt;"N"),"●","")</f>
        <v/>
      </c>
      <c r="K101" s="17">
        <f>IF(AND(ISNUMBER(SEARCH(","&amp;K$1&amp;",",","&amp;SUBSTITUTE(Catalogo!$F101," ","")&amp;",")),Catalogo!$H101&lt;&gt;"N"),"●","")</f>
        <v/>
      </c>
      <c r="L101" s="17">
        <f>IF(AND(ISNUMBER(SEARCH(","&amp;L$1&amp;",",","&amp;SUBSTITUTE(Catalogo!$F101," ","")&amp;",")),Catalogo!$H101&lt;&gt;"N"),"●","")</f>
        <v/>
      </c>
      <c r="M101" s="17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7">
        <f>IF(Catalogo!H102="","(vazio)",Catalogo!H102)</f>
        <v/>
      </c>
      <c r="D102" s="17">
        <f>IF(AND(ISNUMBER(SEARCH(","&amp;D$1&amp;",",","&amp;SUBSTITUTE(Catalogo!$F102," ","")&amp;",")),Catalogo!$H102&lt;&gt;"N"),"●","")</f>
        <v/>
      </c>
      <c r="E102" s="17">
        <f>IF(AND(ISNUMBER(SEARCH(","&amp;E$1&amp;",",","&amp;SUBSTITUTE(Catalogo!$F102," ","")&amp;",")),Catalogo!$H102&lt;&gt;"N"),"●","")</f>
        <v/>
      </c>
      <c r="F102" s="17">
        <f>IF(AND(ISNUMBER(SEARCH(","&amp;F$1&amp;",",","&amp;SUBSTITUTE(Catalogo!$F102," ","")&amp;",")),Catalogo!$H102&lt;&gt;"N"),"●","")</f>
        <v/>
      </c>
      <c r="G102" s="17">
        <f>IF(AND(ISNUMBER(SEARCH(","&amp;G$1&amp;",",","&amp;SUBSTITUTE(Catalogo!$F102," ","")&amp;",")),Catalogo!$H102&lt;&gt;"N"),"●","")</f>
        <v/>
      </c>
      <c r="H102" s="17">
        <f>IF(AND(ISNUMBER(SEARCH(","&amp;H$1&amp;",",","&amp;SUBSTITUTE(Catalogo!$F102," ","")&amp;",")),Catalogo!$H102&lt;&gt;"N"),"●","")</f>
        <v/>
      </c>
      <c r="I102" s="17">
        <f>IF(AND(ISNUMBER(SEARCH(","&amp;I$1&amp;",",","&amp;SUBSTITUTE(Catalogo!$F102," ","")&amp;",")),Catalogo!$H102&lt;&gt;"N"),"●","")</f>
        <v/>
      </c>
      <c r="J102" s="17">
        <f>IF(AND(ISNUMBER(SEARCH(","&amp;J$1&amp;",",","&amp;SUBSTITUTE(Catalogo!$F102," ","")&amp;",")),Catalogo!$H102&lt;&gt;"N"),"●","")</f>
        <v/>
      </c>
      <c r="K102" s="17">
        <f>IF(AND(ISNUMBER(SEARCH(","&amp;K$1&amp;",",","&amp;SUBSTITUTE(Catalogo!$F102," ","")&amp;",")),Catalogo!$H102&lt;&gt;"N"),"●","")</f>
        <v/>
      </c>
      <c r="L102" s="17">
        <f>IF(AND(ISNUMBER(SEARCH(","&amp;L$1&amp;",",","&amp;SUBSTITUTE(Catalogo!$F102," ","")&amp;",")),Catalogo!$H102&lt;&gt;"N"),"●","")</f>
        <v/>
      </c>
      <c r="M102" s="17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7">
        <f>IF(Catalogo!H103="","(vazio)",Catalogo!H103)</f>
        <v/>
      </c>
      <c r="D103" s="17">
        <f>IF(AND(ISNUMBER(SEARCH(","&amp;D$1&amp;",",","&amp;SUBSTITUTE(Catalogo!$F103," ","")&amp;",")),Catalogo!$H103&lt;&gt;"N"),"●","")</f>
        <v/>
      </c>
      <c r="E103" s="17">
        <f>IF(AND(ISNUMBER(SEARCH(","&amp;E$1&amp;",",","&amp;SUBSTITUTE(Catalogo!$F103," ","")&amp;",")),Catalogo!$H103&lt;&gt;"N"),"●","")</f>
        <v/>
      </c>
      <c r="F103" s="17">
        <f>IF(AND(ISNUMBER(SEARCH(","&amp;F$1&amp;",",","&amp;SUBSTITUTE(Catalogo!$F103," ","")&amp;",")),Catalogo!$H103&lt;&gt;"N"),"●","")</f>
        <v/>
      </c>
      <c r="G103" s="17">
        <f>IF(AND(ISNUMBER(SEARCH(","&amp;G$1&amp;",",","&amp;SUBSTITUTE(Catalogo!$F103," ","")&amp;",")),Catalogo!$H103&lt;&gt;"N"),"●","")</f>
        <v/>
      </c>
      <c r="H103" s="17">
        <f>IF(AND(ISNUMBER(SEARCH(","&amp;H$1&amp;",",","&amp;SUBSTITUTE(Catalogo!$F103," ","")&amp;",")),Catalogo!$H103&lt;&gt;"N"),"●","")</f>
        <v/>
      </c>
      <c r="I103" s="17">
        <f>IF(AND(ISNUMBER(SEARCH(","&amp;I$1&amp;",",","&amp;SUBSTITUTE(Catalogo!$F103," ","")&amp;",")),Catalogo!$H103&lt;&gt;"N"),"●","")</f>
        <v/>
      </c>
      <c r="J103" s="17">
        <f>IF(AND(ISNUMBER(SEARCH(","&amp;J$1&amp;",",","&amp;SUBSTITUTE(Catalogo!$F103," ","")&amp;",")),Catalogo!$H103&lt;&gt;"N"),"●","")</f>
        <v/>
      </c>
      <c r="K103" s="17">
        <f>IF(AND(ISNUMBER(SEARCH(","&amp;K$1&amp;",",","&amp;SUBSTITUTE(Catalogo!$F103," ","")&amp;",")),Catalogo!$H103&lt;&gt;"N"),"●","")</f>
        <v/>
      </c>
      <c r="L103" s="17">
        <f>IF(AND(ISNUMBER(SEARCH(","&amp;L$1&amp;",",","&amp;SUBSTITUTE(Catalogo!$F103," ","")&amp;",")),Catalogo!$H103&lt;&gt;"N"),"●","")</f>
        <v/>
      </c>
      <c r="M103" s="17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7">
        <f>IF(Catalogo!H104="","(vazio)",Catalogo!H104)</f>
        <v/>
      </c>
      <c r="D104" s="17">
        <f>IF(AND(ISNUMBER(SEARCH(","&amp;D$1&amp;",",","&amp;SUBSTITUTE(Catalogo!$F104," ","")&amp;",")),Catalogo!$H104&lt;&gt;"N"),"●","")</f>
        <v/>
      </c>
      <c r="E104" s="17">
        <f>IF(AND(ISNUMBER(SEARCH(","&amp;E$1&amp;",",","&amp;SUBSTITUTE(Catalogo!$F104," ","")&amp;",")),Catalogo!$H104&lt;&gt;"N"),"●","")</f>
        <v/>
      </c>
      <c r="F104" s="17">
        <f>IF(AND(ISNUMBER(SEARCH(","&amp;F$1&amp;",",","&amp;SUBSTITUTE(Catalogo!$F104," ","")&amp;",")),Catalogo!$H104&lt;&gt;"N"),"●","")</f>
        <v/>
      </c>
      <c r="G104" s="17">
        <f>IF(AND(ISNUMBER(SEARCH(","&amp;G$1&amp;",",","&amp;SUBSTITUTE(Catalogo!$F104," ","")&amp;",")),Catalogo!$H104&lt;&gt;"N"),"●","")</f>
        <v/>
      </c>
      <c r="H104" s="17">
        <f>IF(AND(ISNUMBER(SEARCH(","&amp;H$1&amp;",",","&amp;SUBSTITUTE(Catalogo!$F104," ","")&amp;",")),Catalogo!$H104&lt;&gt;"N"),"●","")</f>
        <v/>
      </c>
      <c r="I104" s="17">
        <f>IF(AND(ISNUMBER(SEARCH(","&amp;I$1&amp;",",","&amp;SUBSTITUTE(Catalogo!$F104," ","")&amp;",")),Catalogo!$H104&lt;&gt;"N"),"●","")</f>
        <v/>
      </c>
      <c r="J104" s="17">
        <f>IF(AND(ISNUMBER(SEARCH(","&amp;J$1&amp;",",","&amp;SUBSTITUTE(Catalogo!$F104," ","")&amp;",")),Catalogo!$H104&lt;&gt;"N"),"●","")</f>
        <v/>
      </c>
      <c r="K104" s="17">
        <f>IF(AND(ISNUMBER(SEARCH(","&amp;K$1&amp;",",","&amp;SUBSTITUTE(Catalogo!$F104," ","")&amp;",")),Catalogo!$H104&lt;&gt;"N"),"●","")</f>
        <v/>
      </c>
      <c r="L104" s="17">
        <f>IF(AND(ISNUMBER(SEARCH(","&amp;L$1&amp;",",","&amp;SUBSTITUTE(Catalogo!$F104," ","")&amp;",")),Catalogo!$H104&lt;&gt;"N"),"●","")</f>
        <v/>
      </c>
      <c r="M104" s="17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7">
        <f>IF(Catalogo!H105="","(vazio)",Catalogo!H105)</f>
        <v/>
      </c>
      <c r="D105" s="17">
        <f>IF(AND(ISNUMBER(SEARCH(","&amp;D$1&amp;",",","&amp;SUBSTITUTE(Catalogo!$F105," ","")&amp;",")),Catalogo!$H105&lt;&gt;"N"),"●","")</f>
        <v/>
      </c>
      <c r="E105" s="17">
        <f>IF(AND(ISNUMBER(SEARCH(","&amp;E$1&amp;",",","&amp;SUBSTITUTE(Catalogo!$F105," ","")&amp;",")),Catalogo!$H105&lt;&gt;"N"),"●","")</f>
        <v/>
      </c>
      <c r="F105" s="17">
        <f>IF(AND(ISNUMBER(SEARCH(","&amp;F$1&amp;",",","&amp;SUBSTITUTE(Catalogo!$F105," ","")&amp;",")),Catalogo!$H105&lt;&gt;"N"),"●","")</f>
        <v/>
      </c>
      <c r="G105" s="17">
        <f>IF(AND(ISNUMBER(SEARCH(","&amp;G$1&amp;",",","&amp;SUBSTITUTE(Catalogo!$F105," ","")&amp;",")),Catalogo!$H105&lt;&gt;"N"),"●","")</f>
        <v/>
      </c>
      <c r="H105" s="17">
        <f>IF(AND(ISNUMBER(SEARCH(","&amp;H$1&amp;",",","&amp;SUBSTITUTE(Catalogo!$F105," ","")&amp;",")),Catalogo!$H105&lt;&gt;"N"),"●","")</f>
        <v/>
      </c>
      <c r="I105" s="17">
        <f>IF(AND(ISNUMBER(SEARCH(","&amp;I$1&amp;",",","&amp;SUBSTITUTE(Catalogo!$F105," ","")&amp;",")),Catalogo!$H105&lt;&gt;"N"),"●","")</f>
        <v/>
      </c>
      <c r="J105" s="17">
        <f>IF(AND(ISNUMBER(SEARCH(","&amp;J$1&amp;",",","&amp;SUBSTITUTE(Catalogo!$F105," ","")&amp;",")),Catalogo!$H105&lt;&gt;"N"),"●","")</f>
        <v/>
      </c>
      <c r="K105" s="17">
        <f>IF(AND(ISNUMBER(SEARCH(","&amp;K$1&amp;",",","&amp;SUBSTITUTE(Catalogo!$F105," ","")&amp;",")),Catalogo!$H105&lt;&gt;"N"),"●","")</f>
        <v/>
      </c>
      <c r="L105" s="17">
        <f>IF(AND(ISNUMBER(SEARCH(","&amp;L$1&amp;",",","&amp;SUBSTITUTE(Catalogo!$F105," ","")&amp;",")),Catalogo!$H105&lt;&gt;"N"),"●","")</f>
        <v/>
      </c>
      <c r="M105" s="17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7">
        <f>IF(Catalogo!H106="","(vazio)",Catalogo!H106)</f>
        <v/>
      </c>
      <c r="D106" s="17">
        <f>IF(AND(ISNUMBER(SEARCH(","&amp;D$1&amp;",",","&amp;SUBSTITUTE(Catalogo!$F106," ","")&amp;",")),Catalogo!$H106&lt;&gt;"N"),"●","")</f>
        <v/>
      </c>
      <c r="E106" s="17">
        <f>IF(AND(ISNUMBER(SEARCH(","&amp;E$1&amp;",",","&amp;SUBSTITUTE(Catalogo!$F106," ","")&amp;",")),Catalogo!$H106&lt;&gt;"N"),"●","")</f>
        <v/>
      </c>
      <c r="F106" s="17">
        <f>IF(AND(ISNUMBER(SEARCH(","&amp;F$1&amp;",",","&amp;SUBSTITUTE(Catalogo!$F106," ","")&amp;",")),Catalogo!$H106&lt;&gt;"N"),"●","")</f>
        <v/>
      </c>
      <c r="G106" s="17">
        <f>IF(AND(ISNUMBER(SEARCH(","&amp;G$1&amp;",",","&amp;SUBSTITUTE(Catalogo!$F106," ","")&amp;",")),Catalogo!$H106&lt;&gt;"N"),"●","")</f>
        <v/>
      </c>
      <c r="H106" s="17">
        <f>IF(AND(ISNUMBER(SEARCH(","&amp;H$1&amp;",",","&amp;SUBSTITUTE(Catalogo!$F106," ","")&amp;",")),Catalogo!$H106&lt;&gt;"N"),"●","")</f>
        <v/>
      </c>
      <c r="I106" s="17">
        <f>IF(AND(ISNUMBER(SEARCH(","&amp;I$1&amp;",",","&amp;SUBSTITUTE(Catalogo!$F106," ","")&amp;",")),Catalogo!$H106&lt;&gt;"N"),"●","")</f>
        <v/>
      </c>
      <c r="J106" s="17">
        <f>IF(AND(ISNUMBER(SEARCH(","&amp;J$1&amp;",",","&amp;SUBSTITUTE(Catalogo!$F106," ","")&amp;",")),Catalogo!$H106&lt;&gt;"N"),"●","")</f>
        <v/>
      </c>
      <c r="K106" s="17">
        <f>IF(AND(ISNUMBER(SEARCH(","&amp;K$1&amp;",",","&amp;SUBSTITUTE(Catalogo!$F106," ","")&amp;",")),Catalogo!$H106&lt;&gt;"N"),"●","")</f>
        <v/>
      </c>
      <c r="L106" s="17">
        <f>IF(AND(ISNUMBER(SEARCH(","&amp;L$1&amp;",",","&amp;SUBSTITUTE(Catalogo!$F106," ","")&amp;",")),Catalogo!$H106&lt;&gt;"N"),"●","")</f>
        <v/>
      </c>
      <c r="M106" s="17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7">
        <f>IF(Catalogo!H107="","(vazio)",Catalogo!H107)</f>
        <v/>
      </c>
      <c r="D107" s="17">
        <f>IF(AND(ISNUMBER(SEARCH(","&amp;D$1&amp;",",","&amp;SUBSTITUTE(Catalogo!$F107," ","")&amp;",")),Catalogo!$H107&lt;&gt;"N"),"●","")</f>
        <v/>
      </c>
      <c r="E107" s="17">
        <f>IF(AND(ISNUMBER(SEARCH(","&amp;E$1&amp;",",","&amp;SUBSTITUTE(Catalogo!$F107," ","")&amp;",")),Catalogo!$H107&lt;&gt;"N"),"●","")</f>
        <v/>
      </c>
      <c r="F107" s="17">
        <f>IF(AND(ISNUMBER(SEARCH(","&amp;F$1&amp;",",","&amp;SUBSTITUTE(Catalogo!$F107," ","")&amp;",")),Catalogo!$H107&lt;&gt;"N"),"●","")</f>
        <v/>
      </c>
      <c r="G107" s="17">
        <f>IF(AND(ISNUMBER(SEARCH(","&amp;G$1&amp;",",","&amp;SUBSTITUTE(Catalogo!$F107," ","")&amp;",")),Catalogo!$H107&lt;&gt;"N"),"●","")</f>
        <v/>
      </c>
      <c r="H107" s="17">
        <f>IF(AND(ISNUMBER(SEARCH(","&amp;H$1&amp;",",","&amp;SUBSTITUTE(Catalogo!$F107," ","")&amp;",")),Catalogo!$H107&lt;&gt;"N"),"●","")</f>
        <v/>
      </c>
      <c r="I107" s="17">
        <f>IF(AND(ISNUMBER(SEARCH(","&amp;I$1&amp;",",","&amp;SUBSTITUTE(Catalogo!$F107," ","")&amp;",")),Catalogo!$H107&lt;&gt;"N"),"●","")</f>
        <v/>
      </c>
      <c r="J107" s="17">
        <f>IF(AND(ISNUMBER(SEARCH(","&amp;J$1&amp;",",","&amp;SUBSTITUTE(Catalogo!$F107," ","")&amp;",")),Catalogo!$H107&lt;&gt;"N"),"●","")</f>
        <v/>
      </c>
      <c r="K107" s="17">
        <f>IF(AND(ISNUMBER(SEARCH(","&amp;K$1&amp;",",","&amp;SUBSTITUTE(Catalogo!$F107," ","")&amp;",")),Catalogo!$H107&lt;&gt;"N"),"●","")</f>
        <v/>
      </c>
      <c r="L107" s="17">
        <f>IF(AND(ISNUMBER(SEARCH(","&amp;L$1&amp;",",","&amp;SUBSTITUTE(Catalogo!$F107," ","")&amp;",")),Catalogo!$H107&lt;&gt;"N"),"●","")</f>
        <v/>
      </c>
      <c r="M107" s="17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7">
        <f>IF(Catalogo!H108="","(vazio)",Catalogo!H108)</f>
        <v/>
      </c>
      <c r="D108" s="17">
        <f>IF(AND(ISNUMBER(SEARCH(","&amp;D$1&amp;",",","&amp;SUBSTITUTE(Catalogo!$F108," ","")&amp;",")),Catalogo!$H108&lt;&gt;"N"),"●","")</f>
        <v/>
      </c>
      <c r="E108" s="17">
        <f>IF(AND(ISNUMBER(SEARCH(","&amp;E$1&amp;",",","&amp;SUBSTITUTE(Catalogo!$F108," ","")&amp;",")),Catalogo!$H108&lt;&gt;"N"),"●","")</f>
        <v/>
      </c>
      <c r="F108" s="17">
        <f>IF(AND(ISNUMBER(SEARCH(","&amp;F$1&amp;",",","&amp;SUBSTITUTE(Catalogo!$F108," ","")&amp;",")),Catalogo!$H108&lt;&gt;"N"),"●","")</f>
        <v/>
      </c>
      <c r="G108" s="17">
        <f>IF(AND(ISNUMBER(SEARCH(","&amp;G$1&amp;",",","&amp;SUBSTITUTE(Catalogo!$F108," ","")&amp;",")),Catalogo!$H108&lt;&gt;"N"),"●","")</f>
        <v/>
      </c>
      <c r="H108" s="17">
        <f>IF(AND(ISNUMBER(SEARCH(","&amp;H$1&amp;",",","&amp;SUBSTITUTE(Catalogo!$F108," ","")&amp;",")),Catalogo!$H108&lt;&gt;"N"),"●","")</f>
        <v/>
      </c>
      <c r="I108" s="17">
        <f>IF(AND(ISNUMBER(SEARCH(","&amp;I$1&amp;",",","&amp;SUBSTITUTE(Catalogo!$F108," ","")&amp;",")),Catalogo!$H108&lt;&gt;"N"),"●","")</f>
        <v/>
      </c>
      <c r="J108" s="17">
        <f>IF(AND(ISNUMBER(SEARCH(","&amp;J$1&amp;",",","&amp;SUBSTITUTE(Catalogo!$F108," ","")&amp;",")),Catalogo!$H108&lt;&gt;"N"),"●","")</f>
        <v/>
      </c>
      <c r="K108" s="17">
        <f>IF(AND(ISNUMBER(SEARCH(","&amp;K$1&amp;",",","&amp;SUBSTITUTE(Catalogo!$F108," ","")&amp;",")),Catalogo!$H108&lt;&gt;"N"),"●","")</f>
        <v/>
      </c>
      <c r="L108" s="17">
        <f>IF(AND(ISNUMBER(SEARCH(","&amp;L$1&amp;",",","&amp;SUBSTITUTE(Catalogo!$F108," ","")&amp;",")),Catalogo!$H108&lt;&gt;"N"),"●","")</f>
        <v/>
      </c>
      <c r="M108" s="17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7">
        <f>IF(Catalogo!H109="","(vazio)",Catalogo!H109)</f>
        <v/>
      </c>
      <c r="D109" s="17">
        <f>IF(AND(ISNUMBER(SEARCH(","&amp;D$1&amp;",",","&amp;SUBSTITUTE(Catalogo!$F109," ","")&amp;",")),Catalogo!$H109&lt;&gt;"N"),"●","")</f>
        <v/>
      </c>
      <c r="E109" s="17">
        <f>IF(AND(ISNUMBER(SEARCH(","&amp;E$1&amp;",",","&amp;SUBSTITUTE(Catalogo!$F109," ","")&amp;",")),Catalogo!$H109&lt;&gt;"N"),"●","")</f>
        <v/>
      </c>
      <c r="F109" s="17">
        <f>IF(AND(ISNUMBER(SEARCH(","&amp;F$1&amp;",",","&amp;SUBSTITUTE(Catalogo!$F109," ","")&amp;",")),Catalogo!$H109&lt;&gt;"N"),"●","")</f>
        <v/>
      </c>
      <c r="G109" s="17">
        <f>IF(AND(ISNUMBER(SEARCH(","&amp;G$1&amp;",",","&amp;SUBSTITUTE(Catalogo!$F109," ","")&amp;",")),Catalogo!$H109&lt;&gt;"N"),"●","")</f>
        <v/>
      </c>
      <c r="H109" s="17">
        <f>IF(AND(ISNUMBER(SEARCH(","&amp;H$1&amp;",",","&amp;SUBSTITUTE(Catalogo!$F109," ","")&amp;",")),Catalogo!$H109&lt;&gt;"N"),"●","")</f>
        <v/>
      </c>
      <c r="I109" s="17">
        <f>IF(AND(ISNUMBER(SEARCH(","&amp;I$1&amp;",",","&amp;SUBSTITUTE(Catalogo!$F109," ","")&amp;",")),Catalogo!$H109&lt;&gt;"N"),"●","")</f>
        <v/>
      </c>
      <c r="J109" s="17">
        <f>IF(AND(ISNUMBER(SEARCH(","&amp;J$1&amp;",",","&amp;SUBSTITUTE(Catalogo!$F109," ","")&amp;",")),Catalogo!$H109&lt;&gt;"N"),"●","")</f>
        <v/>
      </c>
      <c r="K109" s="17">
        <f>IF(AND(ISNUMBER(SEARCH(","&amp;K$1&amp;",",","&amp;SUBSTITUTE(Catalogo!$F109," ","")&amp;",")),Catalogo!$H109&lt;&gt;"N"),"●","")</f>
        <v/>
      </c>
      <c r="L109" s="17">
        <f>IF(AND(ISNUMBER(SEARCH(","&amp;L$1&amp;",",","&amp;SUBSTITUTE(Catalogo!$F109," ","")&amp;",")),Catalogo!$H109&lt;&gt;"N"),"●","")</f>
        <v/>
      </c>
      <c r="M109" s="17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7">
        <f>IF(Catalogo!H110="","(vazio)",Catalogo!H110)</f>
        <v/>
      </c>
      <c r="D110" s="17">
        <f>IF(AND(ISNUMBER(SEARCH(","&amp;D$1&amp;",",","&amp;SUBSTITUTE(Catalogo!$F110," ","")&amp;",")),Catalogo!$H110&lt;&gt;"N"),"●","")</f>
        <v/>
      </c>
      <c r="E110" s="17">
        <f>IF(AND(ISNUMBER(SEARCH(","&amp;E$1&amp;",",","&amp;SUBSTITUTE(Catalogo!$F110," ","")&amp;",")),Catalogo!$H110&lt;&gt;"N"),"●","")</f>
        <v/>
      </c>
      <c r="F110" s="17">
        <f>IF(AND(ISNUMBER(SEARCH(","&amp;F$1&amp;",",","&amp;SUBSTITUTE(Catalogo!$F110," ","")&amp;",")),Catalogo!$H110&lt;&gt;"N"),"●","")</f>
        <v/>
      </c>
      <c r="G110" s="17">
        <f>IF(AND(ISNUMBER(SEARCH(","&amp;G$1&amp;",",","&amp;SUBSTITUTE(Catalogo!$F110," ","")&amp;",")),Catalogo!$H110&lt;&gt;"N"),"●","")</f>
        <v/>
      </c>
      <c r="H110" s="17">
        <f>IF(AND(ISNUMBER(SEARCH(","&amp;H$1&amp;",",","&amp;SUBSTITUTE(Catalogo!$F110," ","")&amp;",")),Catalogo!$H110&lt;&gt;"N"),"●","")</f>
        <v/>
      </c>
      <c r="I110" s="17">
        <f>IF(AND(ISNUMBER(SEARCH(","&amp;I$1&amp;",",","&amp;SUBSTITUTE(Catalogo!$F110," ","")&amp;",")),Catalogo!$H110&lt;&gt;"N"),"●","")</f>
        <v/>
      </c>
      <c r="J110" s="17">
        <f>IF(AND(ISNUMBER(SEARCH(","&amp;J$1&amp;",",","&amp;SUBSTITUTE(Catalogo!$F110," ","")&amp;",")),Catalogo!$H110&lt;&gt;"N"),"●","")</f>
        <v/>
      </c>
      <c r="K110" s="17">
        <f>IF(AND(ISNUMBER(SEARCH(","&amp;K$1&amp;",",","&amp;SUBSTITUTE(Catalogo!$F110," ","")&amp;",")),Catalogo!$H110&lt;&gt;"N"),"●","")</f>
        <v/>
      </c>
      <c r="L110" s="17">
        <f>IF(AND(ISNUMBER(SEARCH(","&amp;L$1&amp;",",","&amp;SUBSTITUTE(Catalogo!$F110," ","")&amp;",")),Catalogo!$H110&lt;&gt;"N"),"●","")</f>
        <v/>
      </c>
      <c r="M110" s="17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7">
        <f>IF(Catalogo!H111="","(vazio)",Catalogo!H111)</f>
        <v/>
      </c>
      <c r="D111" s="17">
        <f>IF(AND(ISNUMBER(SEARCH(","&amp;D$1&amp;",",","&amp;SUBSTITUTE(Catalogo!$F111," ","")&amp;",")),Catalogo!$H111&lt;&gt;"N"),"●","")</f>
        <v/>
      </c>
      <c r="E111" s="17">
        <f>IF(AND(ISNUMBER(SEARCH(","&amp;E$1&amp;",",","&amp;SUBSTITUTE(Catalogo!$F111," ","")&amp;",")),Catalogo!$H111&lt;&gt;"N"),"●","")</f>
        <v/>
      </c>
      <c r="F111" s="17">
        <f>IF(AND(ISNUMBER(SEARCH(","&amp;F$1&amp;",",","&amp;SUBSTITUTE(Catalogo!$F111," ","")&amp;",")),Catalogo!$H111&lt;&gt;"N"),"●","")</f>
        <v/>
      </c>
      <c r="G111" s="17">
        <f>IF(AND(ISNUMBER(SEARCH(","&amp;G$1&amp;",",","&amp;SUBSTITUTE(Catalogo!$F111," ","")&amp;",")),Catalogo!$H111&lt;&gt;"N"),"●","")</f>
        <v/>
      </c>
      <c r="H111" s="17">
        <f>IF(AND(ISNUMBER(SEARCH(","&amp;H$1&amp;",",","&amp;SUBSTITUTE(Catalogo!$F111," ","")&amp;",")),Catalogo!$H111&lt;&gt;"N"),"●","")</f>
        <v/>
      </c>
      <c r="I111" s="17">
        <f>IF(AND(ISNUMBER(SEARCH(","&amp;I$1&amp;",",","&amp;SUBSTITUTE(Catalogo!$F111," ","")&amp;",")),Catalogo!$H111&lt;&gt;"N"),"●","")</f>
        <v/>
      </c>
      <c r="J111" s="17">
        <f>IF(AND(ISNUMBER(SEARCH(","&amp;J$1&amp;",",","&amp;SUBSTITUTE(Catalogo!$F111," ","")&amp;",")),Catalogo!$H111&lt;&gt;"N"),"●","")</f>
        <v/>
      </c>
      <c r="K111" s="17">
        <f>IF(AND(ISNUMBER(SEARCH(","&amp;K$1&amp;",",","&amp;SUBSTITUTE(Catalogo!$F111," ","")&amp;",")),Catalogo!$H111&lt;&gt;"N"),"●","")</f>
        <v/>
      </c>
      <c r="L111" s="17">
        <f>IF(AND(ISNUMBER(SEARCH(","&amp;L$1&amp;",",","&amp;SUBSTITUTE(Catalogo!$F111," ","")&amp;",")),Catalogo!$H111&lt;&gt;"N"),"●","")</f>
        <v/>
      </c>
      <c r="M111" s="17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7">
        <f>IF(Catalogo!H112="","(vazio)",Catalogo!H112)</f>
        <v/>
      </c>
      <c r="D112" s="17">
        <f>IF(AND(ISNUMBER(SEARCH(","&amp;D$1&amp;",",","&amp;SUBSTITUTE(Catalogo!$F112," ","")&amp;",")),Catalogo!$H112&lt;&gt;"N"),"●","")</f>
        <v/>
      </c>
      <c r="E112" s="17">
        <f>IF(AND(ISNUMBER(SEARCH(","&amp;E$1&amp;",",","&amp;SUBSTITUTE(Catalogo!$F112," ","")&amp;",")),Catalogo!$H112&lt;&gt;"N"),"●","")</f>
        <v/>
      </c>
      <c r="F112" s="17">
        <f>IF(AND(ISNUMBER(SEARCH(","&amp;F$1&amp;",",","&amp;SUBSTITUTE(Catalogo!$F112," ","")&amp;",")),Catalogo!$H112&lt;&gt;"N"),"●","")</f>
        <v/>
      </c>
      <c r="G112" s="17">
        <f>IF(AND(ISNUMBER(SEARCH(","&amp;G$1&amp;",",","&amp;SUBSTITUTE(Catalogo!$F112," ","")&amp;",")),Catalogo!$H112&lt;&gt;"N"),"●","")</f>
        <v/>
      </c>
      <c r="H112" s="17">
        <f>IF(AND(ISNUMBER(SEARCH(","&amp;H$1&amp;",",","&amp;SUBSTITUTE(Catalogo!$F112," ","")&amp;",")),Catalogo!$H112&lt;&gt;"N"),"●","")</f>
        <v/>
      </c>
      <c r="I112" s="17">
        <f>IF(AND(ISNUMBER(SEARCH(","&amp;I$1&amp;",",","&amp;SUBSTITUTE(Catalogo!$F112," ","")&amp;",")),Catalogo!$H112&lt;&gt;"N"),"●","")</f>
        <v/>
      </c>
      <c r="J112" s="17">
        <f>IF(AND(ISNUMBER(SEARCH(","&amp;J$1&amp;",",","&amp;SUBSTITUTE(Catalogo!$F112," ","")&amp;",")),Catalogo!$H112&lt;&gt;"N"),"●","")</f>
        <v/>
      </c>
      <c r="K112" s="17">
        <f>IF(AND(ISNUMBER(SEARCH(","&amp;K$1&amp;",",","&amp;SUBSTITUTE(Catalogo!$F112," ","")&amp;",")),Catalogo!$H112&lt;&gt;"N"),"●","")</f>
        <v/>
      </c>
      <c r="L112" s="17">
        <f>IF(AND(ISNUMBER(SEARCH(","&amp;L$1&amp;",",","&amp;SUBSTITUTE(Catalogo!$F112," ","")&amp;",")),Catalogo!$H112&lt;&gt;"N"),"●","")</f>
        <v/>
      </c>
      <c r="M112" s="17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7">
        <f>IF(Catalogo!H113="","(vazio)",Catalogo!H113)</f>
        <v/>
      </c>
      <c r="D113" s="17">
        <f>IF(AND(ISNUMBER(SEARCH(","&amp;D$1&amp;",",","&amp;SUBSTITUTE(Catalogo!$F113," ","")&amp;",")),Catalogo!$H113&lt;&gt;"N"),"●","")</f>
        <v/>
      </c>
      <c r="E113" s="17">
        <f>IF(AND(ISNUMBER(SEARCH(","&amp;E$1&amp;",",","&amp;SUBSTITUTE(Catalogo!$F113," ","")&amp;",")),Catalogo!$H113&lt;&gt;"N"),"●","")</f>
        <v/>
      </c>
      <c r="F113" s="17">
        <f>IF(AND(ISNUMBER(SEARCH(","&amp;F$1&amp;",",","&amp;SUBSTITUTE(Catalogo!$F113," ","")&amp;",")),Catalogo!$H113&lt;&gt;"N"),"●","")</f>
        <v/>
      </c>
      <c r="G113" s="17">
        <f>IF(AND(ISNUMBER(SEARCH(","&amp;G$1&amp;",",","&amp;SUBSTITUTE(Catalogo!$F113," ","")&amp;",")),Catalogo!$H113&lt;&gt;"N"),"●","")</f>
        <v/>
      </c>
      <c r="H113" s="17">
        <f>IF(AND(ISNUMBER(SEARCH(","&amp;H$1&amp;",",","&amp;SUBSTITUTE(Catalogo!$F113," ","")&amp;",")),Catalogo!$H113&lt;&gt;"N"),"●","")</f>
        <v/>
      </c>
      <c r="I113" s="17">
        <f>IF(AND(ISNUMBER(SEARCH(","&amp;I$1&amp;",",","&amp;SUBSTITUTE(Catalogo!$F113," ","")&amp;",")),Catalogo!$H113&lt;&gt;"N"),"●","")</f>
        <v/>
      </c>
      <c r="J113" s="17">
        <f>IF(AND(ISNUMBER(SEARCH(","&amp;J$1&amp;",",","&amp;SUBSTITUTE(Catalogo!$F113," ","")&amp;",")),Catalogo!$H113&lt;&gt;"N"),"●","")</f>
        <v/>
      </c>
      <c r="K113" s="17">
        <f>IF(AND(ISNUMBER(SEARCH(","&amp;K$1&amp;",",","&amp;SUBSTITUTE(Catalogo!$F113," ","")&amp;",")),Catalogo!$H113&lt;&gt;"N"),"●","")</f>
        <v/>
      </c>
      <c r="L113" s="17">
        <f>IF(AND(ISNUMBER(SEARCH(","&amp;L$1&amp;",",","&amp;SUBSTITUTE(Catalogo!$F113," ","")&amp;",")),Catalogo!$H113&lt;&gt;"N"),"●","")</f>
        <v/>
      </c>
      <c r="M113" s="17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7">
        <f>IF(Catalogo!H114="","(vazio)",Catalogo!H114)</f>
        <v/>
      </c>
      <c r="D114" s="17">
        <f>IF(AND(ISNUMBER(SEARCH(","&amp;D$1&amp;",",","&amp;SUBSTITUTE(Catalogo!$F114," ","")&amp;",")),Catalogo!$H114&lt;&gt;"N"),"●","")</f>
        <v/>
      </c>
      <c r="E114" s="17">
        <f>IF(AND(ISNUMBER(SEARCH(","&amp;E$1&amp;",",","&amp;SUBSTITUTE(Catalogo!$F114," ","")&amp;",")),Catalogo!$H114&lt;&gt;"N"),"●","")</f>
        <v/>
      </c>
      <c r="F114" s="17">
        <f>IF(AND(ISNUMBER(SEARCH(","&amp;F$1&amp;",",","&amp;SUBSTITUTE(Catalogo!$F114," ","")&amp;",")),Catalogo!$H114&lt;&gt;"N"),"●","")</f>
        <v/>
      </c>
      <c r="G114" s="17">
        <f>IF(AND(ISNUMBER(SEARCH(","&amp;G$1&amp;",",","&amp;SUBSTITUTE(Catalogo!$F114," ","")&amp;",")),Catalogo!$H114&lt;&gt;"N"),"●","")</f>
        <v/>
      </c>
      <c r="H114" s="17">
        <f>IF(AND(ISNUMBER(SEARCH(","&amp;H$1&amp;",",","&amp;SUBSTITUTE(Catalogo!$F114," ","")&amp;",")),Catalogo!$H114&lt;&gt;"N"),"●","")</f>
        <v/>
      </c>
      <c r="I114" s="17">
        <f>IF(AND(ISNUMBER(SEARCH(","&amp;I$1&amp;",",","&amp;SUBSTITUTE(Catalogo!$F114," ","")&amp;",")),Catalogo!$H114&lt;&gt;"N"),"●","")</f>
        <v/>
      </c>
      <c r="J114" s="17">
        <f>IF(AND(ISNUMBER(SEARCH(","&amp;J$1&amp;",",","&amp;SUBSTITUTE(Catalogo!$F114," ","")&amp;",")),Catalogo!$H114&lt;&gt;"N"),"●","")</f>
        <v/>
      </c>
      <c r="K114" s="17">
        <f>IF(AND(ISNUMBER(SEARCH(","&amp;K$1&amp;",",","&amp;SUBSTITUTE(Catalogo!$F114," ","")&amp;",")),Catalogo!$H114&lt;&gt;"N"),"●","")</f>
        <v/>
      </c>
      <c r="L114" s="17">
        <f>IF(AND(ISNUMBER(SEARCH(","&amp;L$1&amp;",",","&amp;SUBSTITUTE(Catalogo!$F114," ","")&amp;",")),Catalogo!$H114&lt;&gt;"N"),"●","")</f>
        <v/>
      </c>
      <c r="M114" s="17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7">
        <f>IF(Catalogo!H115="","(vazio)",Catalogo!H115)</f>
        <v/>
      </c>
      <c r="D115" s="17">
        <f>IF(AND(ISNUMBER(SEARCH(","&amp;D$1&amp;",",","&amp;SUBSTITUTE(Catalogo!$F115," ","")&amp;",")),Catalogo!$H115&lt;&gt;"N"),"●","")</f>
        <v/>
      </c>
      <c r="E115" s="17">
        <f>IF(AND(ISNUMBER(SEARCH(","&amp;E$1&amp;",",","&amp;SUBSTITUTE(Catalogo!$F115," ","")&amp;",")),Catalogo!$H115&lt;&gt;"N"),"●","")</f>
        <v/>
      </c>
      <c r="F115" s="17">
        <f>IF(AND(ISNUMBER(SEARCH(","&amp;F$1&amp;",",","&amp;SUBSTITUTE(Catalogo!$F115," ","")&amp;",")),Catalogo!$H115&lt;&gt;"N"),"●","")</f>
        <v/>
      </c>
      <c r="G115" s="17">
        <f>IF(AND(ISNUMBER(SEARCH(","&amp;G$1&amp;",",","&amp;SUBSTITUTE(Catalogo!$F115," ","")&amp;",")),Catalogo!$H115&lt;&gt;"N"),"●","")</f>
        <v/>
      </c>
      <c r="H115" s="17">
        <f>IF(AND(ISNUMBER(SEARCH(","&amp;H$1&amp;",",","&amp;SUBSTITUTE(Catalogo!$F115," ","")&amp;",")),Catalogo!$H115&lt;&gt;"N"),"●","")</f>
        <v/>
      </c>
      <c r="I115" s="17">
        <f>IF(AND(ISNUMBER(SEARCH(","&amp;I$1&amp;",",","&amp;SUBSTITUTE(Catalogo!$F115," ","")&amp;",")),Catalogo!$H115&lt;&gt;"N"),"●","")</f>
        <v/>
      </c>
      <c r="J115" s="17">
        <f>IF(AND(ISNUMBER(SEARCH(","&amp;J$1&amp;",",","&amp;SUBSTITUTE(Catalogo!$F115," ","")&amp;",")),Catalogo!$H115&lt;&gt;"N"),"●","")</f>
        <v/>
      </c>
      <c r="K115" s="17">
        <f>IF(AND(ISNUMBER(SEARCH(","&amp;K$1&amp;",",","&amp;SUBSTITUTE(Catalogo!$F115," ","")&amp;",")),Catalogo!$H115&lt;&gt;"N"),"●","")</f>
        <v/>
      </c>
      <c r="L115" s="17">
        <f>IF(AND(ISNUMBER(SEARCH(","&amp;L$1&amp;",",","&amp;SUBSTITUTE(Catalogo!$F115," ","")&amp;",")),Catalogo!$H115&lt;&gt;"N"),"●","")</f>
        <v/>
      </c>
      <c r="M115" s="17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7">
        <f>IF(Catalogo!H116="","(vazio)",Catalogo!H116)</f>
        <v/>
      </c>
      <c r="D116" s="17">
        <f>IF(AND(ISNUMBER(SEARCH(","&amp;D$1&amp;",",","&amp;SUBSTITUTE(Catalogo!$F116," ","")&amp;",")),Catalogo!$H116&lt;&gt;"N"),"●","")</f>
        <v/>
      </c>
      <c r="E116" s="17">
        <f>IF(AND(ISNUMBER(SEARCH(","&amp;E$1&amp;",",","&amp;SUBSTITUTE(Catalogo!$F116," ","")&amp;",")),Catalogo!$H116&lt;&gt;"N"),"●","")</f>
        <v/>
      </c>
      <c r="F116" s="17">
        <f>IF(AND(ISNUMBER(SEARCH(","&amp;F$1&amp;",",","&amp;SUBSTITUTE(Catalogo!$F116," ","")&amp;",")),Catalogo!$H116&lt;&gt;"N"),"●","")</f>
        <v/>
      </c>
      <c r="G116" s="17">
        <f>IF(AND(ISNUMBER(SEARCH(","&amp;G$1&amp;",",","&amp;SUBSTITUTE(Catalogo!$F116," ","")&amp;",")),Catalogo!$H116&lt;&gt;"N"),"●","")</f>
        <v/>
      </c>
      <c r="H116" s="17">
        <f>IF(AND(ISNUMBER(SEARCH(","&amp;H$1&amp;",",","&amp;SUBSTITUTE(Catalogo!$F116," ","")&amp;",")),Catalogo!$H116&lt;&gt;"N"),"●","")</f>
        <v/>
      </c>
      <c r="I116" s="17">
        <f>IF(AND(ISNUMBER(SEARCH(","&amp;I$1&amp;",",","&amp;SUBSTITUTE(Catalogo!$F116," ","")&amp;",")),Catalogo!$H116&lt;&gt;"N"),"●","")</f>
        <v/>
      </c>
      <c r="J116" s="17">
        <f>IF(AND(ISNUMBER(SEARCH(","&amp;J$1&amp;",",","&amp;SUBSTITUTE(Catalogo!$F116," ","")&amp;",")),Catalogo!$H116&lt;&gt;"N"),"●","")</f>
        <v/>
      </c>
      <c r="K116" s="17">
        <f>IF(AND(ISNUMBER(SEARCH(","&amp;K$1&amp;",",","&amp;SUBSTITUTE(Catalogo!$F116," ","")&amp;",")),Catalogo!$H116&lt;&gt;"N"),"●","")</f>
        <v/>
      </c>
      <c r="L116" s="17">
        <f>IF(AND(ISNUMBER(SEARCH(","&amp;L$1&amp;",",","&amp;SUBSTITUTE(Catalogo!$F116," ","")&amp;",")),Catalogo!$H116&lt;&gt;"N"),"●","")</f>
        <v/>
      </c>
      <c r="M116" s="17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7">
        <f>IF(Catalogo!H117="","(vazio)",Catalogo!H117)</f>
        <v/>
      </c>
      <c r="D117" s="17">
        <f>IF(AND(ISNUMBER(SEARCH(","&amp;D$1&amp;",",","&amp;SUBSTITUTE(Catalogo!$F117," ","")&amp;",")),Catalogo!$H117&lt;&gt;"N"),"●","")</f>
        <v/>
      </c>
      <c r="E117" s="17">
        <f>IF(AND(ISNUMBER(SEARCH(","&amp;E$1&amp;",",","&amp;SUBSTITUTE(Catalogo!$F117," ","")&amp;",")),Catalogo!$H117&lt;&gt;"N"),"●","")</f>
        <v/>
      </c>
      <c r="F117" s="17">
        <f>IF(AND(ISNUMBER(SEARCH(","&amp;F$1&amp;",",","&amp;SUBSTITUTE(Catalogo!$F117," ","")&amp;",")),Catalogo!$H117&lt;&gt;"N"),"●","")</f>
        <v/>
      </c>
      <c r="G117" s="17">
        <f>IF(AND(ISNUMBER(SEARCH(","&amp;G$1&amp;",",","&amp;SUBSTITUTE(Catalogo!$F117," ","")&amp;",")),Catalogo!$H117&lt;&gt;"N"),"●","")</f>
        <v/>
      </c>
      <c r="H117" s="17">
        <f>IF(AND(ISNUMBER(SEARCH(","&amp;H$1&amp;",",","&amp;SUBSTITUTE(Catalogo!$F117," ","")&amp;",")),Catalogo!$H117&lt;&gt;"N"),"●","")</f>
        <v/>
      </c>
      <c r="I117" s="17">
        <f>IF(AND(ISNUMBER(SEARCH(","&amp;I$1&amp;",",","&amp;SUBSTITUTE(Catalogo!$F117," ","")&amp;",")),Catalogo!$H117&lt;&gt;"N"),"●","")</f>
        <v/>
      </c>
      <c r="J117" s="17">
        <f>IF(AND(ISNUMBER(SEARCH(","&amp;J$1&amp;",",","&amp;SUBSTITUTE(Catalogo!$F117," ","")&amp;",")),Catalogo!$H117&lt;&gt;"N"),"●","")</f>
        <v/>
      </c>
      <c r="K117" s="17">
        <f>IF(AND(ISNUMBER(SEARCH(","&amp;K$1&amp;",",","&amp;SUBSTITUTE(Catalogo!$F117," ","")&amp;",")),Catalogo!$H117&lt;&gt;"N"),"●","")</f>
        <v/>
      </c>
      <c r="L117" s="17">
        <f>IF(AND(ISNUMBER(SEARCH(","&amp;L$1&amp;",",","&amp;SUBSTITUTE(Catalogo!$F117," ","")&amp;",")),Catalogo!$H117&lt;&gt;"N"),"●","")</f>
        <v/>
      </c>
      <c r="M117" s="17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7">
        <f>IF(Catalogo!H118="","(vazio)",Catalogo!H118)</f>
        <v/>
      </c>
      <c r="D118" s="17">
        <f>IF(AND(ISNUMBER(SEARCH(","&amp;D$1&amp;",",","&amp;SUBSTITUTE(Catalogo!$F118," ","")&amp;",")),Catalogo!$H118&lt;&gt;"N"),"●","")</f>
        <v/>
      </c>
      <c r="E118" s="17">
        <f>IF(AND(ISNUMBER(SEARCH(","&amp;E$1&amp;",",","&amp;SUBSTITUTE(Catalogo!$F118," ","")&amp;",")),Catalogo!$H118&lt;&gt;"N"),"●","")</f>
        <v/>
      </c>
      <c r="F118" s="17">
        <f>IF(AND(ISNUMBER(SEARCH(","&amp;F$1&amp;",",","&amp;SUBSTITUTE(Catalogo!$F118," ","")&amp;",")),Catalogo!$H118&lt;&gt;"N"),"●","")</f>
        <v/>
      </c>
      <c r="G118" s="17">
        <f>IF(AND(ISNUMBER(SEARCH(","&amp;G$1&amp;",",","&amp;SUBSTITUTE(Catalogo!$F118," ","")&amp;",")),Catalogo!$H118&lt;&gt;"N"),"●","")</f>
        <v/>
      </c>
      <c r="H118" s="17">
        <f>IF(AND(ISNUMBER(SEARCH(","&amp;H$1&amp;",",","&amp;SUBSTITUTE(Catalogo!$F118," ","")&amp;",")),Catalogo!$H118&lt;&gt;"N"),"●","")</f>
        <v/>
      </c>
      <c r="I118" s="17">
        <f>IF(AND(ISNUMBER(SEARCH(","&amp;I$1&amp;",",","&amp;SUBSTITUTE(Catalogo!$F118," ","")&amp;",")),Catalogo!$H118&lt;&gt;"N"),"●","")</f>
        <v/>
      </c>
      <c r="J118" s="17">
        <f>IF(AND(ISNUMBER(SEARCH(","&amp;J$1&amp;",",","&amp;SUBSTITUTE(Catalogo!$F118," ","")&amp;",")),Catalogo!$H118&lt;&gt;"N"),"●","")</f>
        <v/>
      </c>
      <c r="K118" s="17">
        <f>IF(AND(ISNUMBER(SEARCH(","&amp;K$1&amp;",",","&amp;SUBSTITUTE(Catalogo!$F118," ","")&amp;",")),Catalogo!$H118&lt;&gt;"N"),"●","")</f>
        <v/>
      </c>
      <c r="L118" s="17">
        <f>IF(AND(ISNUMBER(SEARCH(","&amp;L$1&amp;",",","&amp;SUBSTITUTE(Catalogo!$F118," ","")&amp;",")),Catalogo!$H118&lt;&gt;"N"),"●","")</f>
        <v/>
      </c>
      <c r="M118" s="17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7">
        <f>IF(Catalogo!H119="","(vazio)",Catalogo!H119)</f>
        <v/>
      </c>
      <c r="D119" s="17">
        <f>IF(AND(ISNUMBER(SEARCH(","&amp;D$1&amp;",",","&amp;SUBSTITUTE(Catalogo!$F119," ","")&amp;",")),Catalogo!$H119&lt;&gt;"N"),"●","")</f>
        <v/>
      </c>
      <c r="E119" s="17">
        <f>IF(AND(ISNUMBER(SEARCH(","&amp;E$1&amp;",",","&amp;SUBSTITUTE(Catalogo!$F119," ","")&amp;",")),Catalogo!$H119&lt;&gt;"N"),"●","")</f>
        <v/>
      </c>
      <c r="F119" s="17">
        <f>IF(AND(ISNUMBER(SEARCH(","&amp;F$1&amp;",",","&amp;SUBSTITUTE(Catalogo!$F119," ","")&amp;",")),Catalogo!$H119&lt;&gt;"N"),"●","")</f>
        <v/>
      </c>
      <c r="G119" s="17">
        <f>IF(AND(ISNUMBER(SEARCH(","&amp;G$1&amp;",",","&amp;SUBSTITUTE(Catalogo!$F119," ","")&amp;",")),Catalogo!$H119&lt;&gt;"N"),"●","")</f>
        <v/>
      </c>
      <c r="H119" s="17">
        <f>IF(AND(ISNUMBER(SEARCH(","&amp;H$1&amp;",",","&amp;SUBSTITUTE(Catalogo!$F119," ","")&amp;",")),Catalogo!$H119&lt;&gt;"N"),"●","")</f>
        <v/>
      </c>
      <c r="I119" s="17">
        <f>IF(AND(ISNUMBER(SEARCH(","&amp;I$1&amp;",",","&amp;SUBSTITUTE(Catalogo!$F119," ","")&amp;",")),Catalogo!$H119&lt;&gt;"N"),"●","")</f>
        <v/>
      </c>
      <c r="J119" s="17">
        <f>IF(AND(ISNUMBER(SEARCH(","&amp;J$1&amp;",",","&amp;SUBSTITUTE(Catalogo!$F119," ","")&amp;",")),Catalogo!$H119&lt;&gt;"N"),"●","")</f>
        <v/>
      </c>
      <c r="K119" s="17">
        <f>IF(AND(ISNUMBER(SEARCH(","&amp;K$1&amp;",",","&amp;SUBSTITUTE(Catalogo!$F119," ","")&amp;",")),Catalogo!$H119&lt;&gt;"N"),"●","")</f>
        <v/>
      </c>
      <c r="L119" s="17">
        <f>IF(AND(ISNUMBER(SEARCH(","&amp;L$1&amp;",",","&amp;SUBSTITUTE(Catalogo!$F119," ","")&amp;",")),Catalogo!$H119&lt;&gt;"N"),"●","")</f>
        <v/>
      </c>
      <c r="M119" s="17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7">
        <f>IF(Catalogo!H120="","(vazio)",Catalogo!H120)</f>
        <v/>
      </c>
      <c r="D120" s="17">
        <f>IF(AND(ISNUMBER(SEARCH(","&amp;D$1&amp;",",","&amp;SUBSTITUTE(Catalogo!$F120," ","")&amp;",")),Catalogo!$H120&lt;&gt;"N"),"●","")</f>
        <v/>
      </c>
      <c r="E120" s="17">
        <f>IF(AND(ISNUMBER(SEARCH(","&amp;E$1&amp;",",","&amp;SUBSTITUTE(Catalogo!$F120," ","")&amp;",")),Catalogo!$H120&lt;&gt;"N"),"●","")</f>
        <v/>
      </c>
      <c r="F120" s="17">
        <f>IF(AND(ISNUMBER(SEARCH(","&amp;F$1&amp;",",","&amp;SUBSTITUTE(Catalogo!$F120," ","")&amp;",")),Catalogo!$H120&lt;&gt;"N"),"●","")</f>
        <v/>
      </c>
      <c r="G120" s="17">
        <f>IF(AND(ISNUMBER(SEARCH(","&amp;G$1&amp;",",","&amp;SUBSTITUTE(Catalogo!$F120," ","")&amp;",")),Catalogo!$H120&lt;&gt;"N"),"●","")</f>
        <v/>
      </c>
      <c r="H120" s="17">
        <f>IF(AND(ISNUMBER(SEARCH(","&amp;H$1&amp;",",","&amp;SUBSTITUTE(Catalogo!$F120," ","")&amp;",")),Catalogo!$H120&lt;&gt;"N"),"●","")</f>
        <v/>
      </c>
      <c r="I120" s="17">
        <f>IF(AND(ISNUMBER(SEARCH(","&amp;I$1&amp;",",","&amp;SUBSTITUTE(Catalogo!$F120," ","")&amp;",")),Catalogo!$H120&lt;&gt;"N"),"●","")</f>
        <v/>
      </c>
      <c r="J120" s="17">
        <f>IF(AND(ISNUMBER(SEARCH(","&amp;J$1&amp;",",","&amp;SUBSTITUTE(Catalogo!$F120," ","")&amp;",")),Catalogo!$H120&lt;&gt;"N"),"●","")</f>
        <v/>
      </c>
      <c r="K120" s="17">
        <f>IF(AND(ISNUMBER(SEARCH(","&amp;K$1&amp;",",","&amp;SUBSTITUTE(Catalogo!$F120," ","")&amp;",")),Catalogo!$H120&lt;&gt;"N"),"●","")</f>
        <v/>
      </c>
      <c r="L120" s="17">
        <f>IF(AND(ISNUMBER(SEARCH(","&amp;L$1&amp;",",","&amp;SUBSTITUTE(Catalogo!$F120," ","")&amp;",")),Catalogo!$H120&lt;&gt;"N"),"●","")</f>
        <v/>
      </c>
      <c r="M120" s="17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7">
        <f>IF(Catalogo!H121="","(vazio)",Catalogo!H121)</f>
        <v/>
      </c>
      <c r="D121" s="17">
        <f>IF(AND(ISNUMBER(SEARCH(","&amp;D$1&amp;",",","&amp;SUBSTITUTE(Catalogo!$F121," ","")&amp;",")),Catalogo!$H121&lt;&gt;"N"),"●","")</f>
        <v/>
      </c>
      <c r="E121" s="17">
        <f>IF(AND(ISNUMBER(SEARCH(","&amp;E$1&amp;",",","&amp;SUBSTITUTE(Catalogo!$F121," ","")&amp;",")),Catalogo!$H121&lt;&gt;"N"),"●","")</f>
        <v/>
      </c>
      <c r="F121" s="17">
        <f>IF(AND(ISNUMBER(SEARCH(","&amp;F$1&amp;",",","&amp;SUBSTITUTE(Catalogo!$F121," ","")&amp;",")),Catalogo!$H121&lt;&gt;"N"),"●","")</f>
        <v/>
      </c>
      <c r="G121" s="17">
        <f>IF(AND(ISNUMBER(SEARCH(","&amp;G$1&amp;",",","&amp;SUBSTITUTE(Catalogo!$F121," ","")&amp;",")),Catalogo!$H121&lt;&gt;"N"),"●","")</f>
        <v/>
      </c>
      <c r="H121" s="17">
        <f>IF(AND(ISNUMBER(SEARCH(","&amp;H$1&amp;",",","&amp;SUBSTITUTE(Catalogo!$F121," ","")&amp;",")),Catalogo!$H121&lt;&gt;"N"),"●","")</f>
        <v/>
      </c>
      <c r="I121" s="17">
        <f>IF(AND(ISNUMBER(SEARCH(","&amp;I$1&amp;",",","&amp;SUBSTITUTE(Catalogo!$F121," ","")&amp;",")),Catalogo!$H121&lt;&gt;"N"),"●","")</f>
        <v/>
      </c>
      <c r="J121" s="17">
        <f>IF(AND(ISNUMBER(SEARCH(","&amp;J$1&amp;",",","&amp;SUBSTITUTE(Catalogo!$F121," ","")&amp;",")),Catalogo!$H121&lt;&gt;"N"),"●","")</f>
        <v/>
      </c>
      <c r="K121" s="17">
        <f>IF(AND(ISNUMBER(SEARCH(","&amp;K$1&amp;",",","&amp;SUBSTITUTE(Catalogo!$F121," ","")&amp;",")),Catalogo!$H121&lt;&gt;"N"),"●","")</f>
        <v/>
      </c>
      <c r="L121" s="17">
        <f>IF(AND(ISNUMBER(SEARCH(","&amp;L$1&amp;",",","&amp;SUBSTITUTE(Catalogo!$F121," ","")&amp;",")),Catalogo!$H121&lt;&gt;"N"),"●","")</f>
        <v/>
      </c>
      <c r="M121" s="17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7">
        <f>IF(Catalogo!H122="","(vazio)",Catalogo!H122)</f>
        <v/>
      </c>
      <c r="D122" s="17">
        <f>IF(AND(ISNUMBER(SEARCH(","&amp;D$1&amp;",",","&amp;SUBSTITUTE(Catalogo!$F122," ","")&amp;",")),Catalogo!$H122&lt;&gt;"N"),"●","")</f>
        <v/>
      </c>
      <c r="E122" s="17">
        <f>IF(AND(ISNUMBER(SEARCH(","&amp;E$1&amp;",",","&amp;SUBSTITUTE(Catalogo!$F122," ","")&amp;",")),Catalogo!$H122&lt;&gt;"N"),"●","")</f>
        <v/>
      </c>
      <c r="F122" s="17">
        <f>IF(AND(ISNUMBER(SEARCH(","&amp;F$1&amp;",",","&amp;SUBSTITUTE(Catalogo!$F122," ","")&amp;",")),Catalogo!$H122&lt;&gt;"N"),"●","")</f>
        <v/>
      </c>
      <c r="G122" s="17">
        <f>IF(AND(ISNUMBER(SEARCH(","&amp;G$1&amp;",",","&amp;SUBSTITUTE(Catalogo!$F122," ","")&amp;",")),Catalogo!$H122&lt;&gt;"N"),"●","")</f>
        <v/>
      </c>
      <c r="H122" s="17">
        <f>IF(AND(ISNUMBER(SEARCH(","&amp;H$1&amp;",",","&amp;SUBSTITUTE(Catalogo!$F122," ","")&amp;",")),Catalogo!$H122&lt;&gt;"N"),"●","")</f>
        <v/>
      </c>
      <c r="I122" s="17">
        <f>IF(AND(ISNUMBER(SEARCH(","&amp;I$1&amp;",",","&amp;SUBSTITUTE(Catalogo!$F122," ","")&amp;",")),Catalogo!$H122&lt;&gt;"N"),"●","")</f>
        <v/>
      </c>
      <c r="J122" s="17">
        <f>IF(AND(ISNUMBER(SEARCH(","&amp;J$1&amp;",",","&amp;SUBSTITUTE(Catalogo!$F122," ","")&amp;",")),Catalogo!$H122&lt;&gt;"N"),"●","")</f>
        <v/>
      </c>
      <c r="K122" s="17">
        <f>IF(AND(ISNUMBER(SEARCH(","&amp;K$1&amp;",",","&amp;SUBSTITUTE(Catalogo!$F122," ","")&amp;",")),Catalogo!$H122&lt;&gt;"N"),"●","")</f>
        <v/>
      </c>
      <c r="L122" s="17">
        <f>IF(AND(ISNUMBER(SEARCH(","&amp;L$1&amp;",",","&amp;SUBSTITUTE(Catalogo!$F122," ","")&amp;",")),Catalogo!$H122&lt;&gt;"N"),"●","")</f>
        <v/>
      </c>
      <c r="M122" s="17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7">
        <f>IF(Catalogo!H123="","(vazio)",Catalogo!H123)</f>
        <v/>
      </c>
      <c r="D123" s="17">
        <f>IF(AND(ISNUMBER(SEARCH(","&amp;D$1&amp;",",","&amp;SUBSTITUTE(Catalogo!$F123," ","")&amp;",")),Catalogo!$H123&lt;&gt;"N"),"●","")</f>
        <v/>
      </c>
      <c r="E123" s="17">
        <f>IF(AND(ISNUMBER(SEARCH(","&amp;E$1&amp;",",","&amp;SUBSTITUTE(Catalogo!$F123," ","")&amp;",")),Catalogo!$H123&lt;&gt;"N"),"●","")</f>
        <v/>
      </c>
      <c r="F123" s="17">
        <f>IF(AND(ISNUMBER(SEARCH(","&amp;F$1&amp;",",","&amp;SUBSTITUTE(Catalogo!$F123," ","")&amp;",")),Catalogo!$H123&lt;&gt;"N"),"●","")</f>
        <v/>
      </c>
      <c r="G123" s="17">
        <f>IF(AND(ISNUMBER(SEARCH(","&amp;G$1&amp;",",","&amp;SUBSTITUTE(Catalogo!$F123," ","")&amp;",")),Catalogo!$H123&lt;&gt;"N"),"●","")</f>
        <v/>
      </c>
      <c r="H123" s="17">
        <f>IF(AND(ISNUMBER(SEARCH(","&amp;H$1&amp;",",","&amp;SUBSTITUTE(Catalogo!$F123," ","")&amp;",")),Catalogo!$H123&lt;&gt;"N"),"●","")</f>
        <v/>
      </c>
      <c r="I123" s="17">
        <f>IF(AND(ISNUMBER(SEARCH(","&amp;I$1&amp;",",","&amp;SUBSTITUTE(Catalogo!$F123," ","")&amp;",")),Catalogo!$H123&lt;&gt;"N"),"●","")</f>
        <v/>
      </c>
      <c r="J123" s="17">
        <f>IF(AND(ISNUMBER(SEARCH(","&amp;J$1&amp;",",","&amp;SUBSTITUTE(Catalogo!$F123," ","")&amp;",")),Catalogo!$H123&lt;&gt;"N"),"●","")</f>
        <v/>
      </c>
      <c r="K123" s="17">
        <f>IF(AND(ISNUMBER(SEARCH(","&amp;K$1&amp;",",","&amp;SUBSTITUTE(Catalogo!$F123," ","")&amp;",")),Catalogo!$H123&lt;&gt;"N"),"●","")</f>
        <v/>
      </c>
      <c r="L123" s="17">
        <f>IF(AND(ISNUMBER(SEARCH(","&amp;L$1&amp;",",","&amp;SUBSTITUTE(Catalogo!$F123," ","")&amp;",")),Catalogo!$H123&lt;&gt;"N"),"●","")</f>
        <v/>
      </c>
      <c r="M123" s="17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7">
        <f>IF(Catalogo!H124="","(vazio)",Catalogo!H124)</f>
        <v/>
      </c>
      <c r="D124" s="17">
        <f>IF(AND(ISNUMBER(SEARCH(","&amp;D$1&amp;",",","&amp;SUBSTITUTE(Catalogo!$F124," ","")&amp;",")),Catalogo!$H124&lt;&gt;"N"),"●","")</f>
        <v/>
      </c>
      <c r="E124" s="17">
        <f>IF(AND(ISNUMBER(SEARCH(","&amp;E$1&amp;",",","&amp;SUBSTITUTE(Catalogo!$F124," ","")&amp;",")),Catalogo!$H124&lt;&gt;"N"),"●","")</f>
        <v/>
      </c>
      <c r="F124" s="17">
        <f>IF(AND(ISNUMBER(SEARCH(","&amp;F$1&amp;",",","&amp;SUBSTITUTE(Catalogo!$F124," ","")&amp;",")),Catalogo!$H124&lt;&gt;"N"),"●","")</f>
        <v/>
      </c>
      <c r="G124" s="17">
        <f>IF(AND(ISNUMBER(SEARCH(","&amp;G$1&amp;",",","&amp;SUBSTITUTE(Catalogo!$F124," ","")&amp;",")),Catalogo!$H124&lt;&gt;"N"),"●","")</f>
        <v/>
      </c>
      <c r="H124" s="17">
        <f>IF(AND(ISNUMBER(SEARCH(","&amp;H$1&amp;",",","&amp;SUBSTITUTE(Catalogo!$F124," ","")&amp;",")),Catalogo!$H124&lt;&gt;"N"),"●","")</f>
        <v/>
      </c>
      <c r="I124" s="17">
        <f>IF(AND(ISNUMBER(SEARCH(","&amp;I$1&amp;",",","&amp;SUBSTITUTE(Catalogo!$F124," ","")&amp;",")),Catalogo!$H124&lt;&gt;"N"),"●","")</f>
        <v/>
      </c>
      <c r="J124" s="17">
        <f>IF(AND(ISNUMBER(SEARCH(","&amp;J$1&amp;",",","&amp;SUBSTITUTE(Catalogo!$F124," ","")&amp;",")),Catalogo!$H124&lt;&gt;"N"),"●","")</f>
        <v/>
      </c>
      <c r="K124" s="17">
        <f>IF(AND(ISNUMBER(SEARCH(","&amp;K$1&amp;",",","&amp;SUBSTITUTE(Catalogo!$F124," ","")&amp;",")),Catalogo!$H124&lt;&gt;"N"),"●","")</f>
        <v/>
      </c>
      <c r="L124" s="17">
        <f>IF(AND(ISNUMBER(SEARCH(","&amp;L$1&amp;",",","&amp;SUBSTITUTE(Catalogo!$F124," ","")&amp;",")),Catalogo!$H124&lt;&gt;"N"),"●","")</f>
        <v/>
      </c>
      <c r="M124" s="17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7">
        <f>IF(Catalogo!H125="","(vazio)",Catalogo!H125)</f>
        <v/>
      </c>
      <c r="D125" s="17">
        <f>IF(AND(ISNUMBER(SEARCH(","&amp;D$1&amp;",",","&amp;SUBSTITUTE(Catalogo!$F125," ","")&amp;",")),Catalogo!$H125&lt;&gt;"N"),"●","")</f>
        <v/>
      </c>
      <c r="E125" s="17">
        <f>IF(AND(ISNUMBER(SEARCH(","&amp;E$1&amp;",",","&amp;SUBSTITUTE(Catalogo!$F125," ","")&amp;",")),Catalogo!$H125&lt;&gt;"N"),"●","")</f>
        <v/>
      </c>
      <c r="F125" s="17">
        <f>IF(AND(ISNUMBER(SEARCH(","&amp;F$1&amp;",",","&amp;SUBSTITUTE(Catalogo!$F125," ","")&amp;",")),Catalogo!$H125&lt;&gt;"N"),"●","")</f>
        <v/>
      </c>
      <c r="G125" s="17">
        <f>IF(AND(ISNUMBER(SEARCH(","&amp;G$1&amp;",",","&amp;SUBSTITUTE(Catalogo!$F125," ","")&amp;",")),Catalogo!$H125&lt;&gt;"N"),"●","")</f>
        <v/>
      </c>
      <c r="H125" s="17">
        <f>IF(AND(ISNUMBER(SEARCH(","&amp;H$1&amp;",",","&amp;SUBSTITUTE(Catalogo!$F125," ","")&amp;",")),Catalogo!$H125&lt;&gt;"N"),"●","")</f>
        <v/>
      </c>
      <c r="I125" s="17">
        <f>IF(AND(ISNUMBER(SEARCH(","&amp;I$1&amp;",",","&amp;SUBSTITUTE(Catalogo!$F125," ","")&amp;",")),Catalogo!$H125&lt;&gt;"N"),"●","")</f>
        <v/>
      </c>
      <c r="J125" s="17">
        <f>IF(AND(ISNUMBER(SEARCH(","&amp;J$1&amp;",",","&amp;SUBSTITUTE(Catalogo!$F125," ","")&amp;",")),Catalogo!$H125&lt;&gt;"N"),"●","")</f>
        <v/>
      </c>
      <c r="K125" s="17">
        <f>IF(AND(ISNUMBER(SEARCH(","&amp;K$1&amp;",",","&amp;SUBSTITUTE(Catalogo!$F125," ","")&amp;",")),Catalogo!$H125&lt;&gt;"N"),"●","")</f>
        <v/>
      </c>
      <c r="L125" s="17">
        <f>IF(AND(ISNUMBER(SEARCH(","&amp;L$1&amp;",",","&amp;SUBSTITUTE(Catalogo!$F125," ","")&amp;",")),Catalogo!$H125&lt;&gt;"N"),"●","")</f>
        <v/>
      </c>
      <c r="M125" s="17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7">
        <f>IF(Catalogo!H126="","(vazio)",Catalogo!H126)</f>
        <v/>
      </c>
      <c r="D126" s="17">
        <f>IF(AND(ISNUMBER(SEARCH(","&amp;D$1&amp;",",","&amp;SUBSTITUTE(Catalogo!$F126," ","")&amp;",")),Catalogo!$H126&lt;&gt;"N"),"●","")</f>
        <v/>
      </c>
      <c r="E126" s="17">
        <f>IF(AND(ISNUMBER(SEARCH(","&amp;E$1&amp;",",","&amp;SUBSTITUTE(Catalogo!$F126," ","")&amp;",")),Catalogo!$H126&lt;&gt;"N"),"●","")</f>
        <v/>
      </c>
      <c r="F126" s="17">
        <f>IF(AND(ISNUMBER(SEARCH(","&amp;F$1&amp;",",","&amp;SUBSTITUTE(Catalogo!$F126," ","")&amp;",")),Catalogo!$H126&lt;&gt;"N"),"●","")</f>
        <v/>
      </c>
      <c r="G126" s="17">
        <f>IF(AND(ISNUMBER(SEARCH(","&amp;G$1&amp;",",","&amp;SUBSTITUTE(Catalogo!$F126," ","")&amp;",")),Catalogo!$H126&lt;&gt;"N"),"●","")</f>
        <v/>
      </c>
      <c r="H126" s="17">
        <f>IF(AND(ISNUMBER(SEARCH(","&amp;H$1&amp;",",","&amp;SUBSTITUTE(Catalogo!$F126," ","")&amp;",")),Catalogo!$H126&lt;&gt;"N"),"●","")</f>
        <v/>
      </c>
      <c r="I126" s="17">
        <f>IF(AND(ISNUMBER(SEARCH(","&amp;I$1&amp;",",","&amp;SUBSTITUTE(Catalogo!$F126," ","")&amp;",")),Catalogo!$H126&lt;&gt;"N"),"●","")</f>
        <v/>
      </c>
      <c r="J126" s="17">
        <f>IF(AND(ISNUMBER(SEARCH(","&amp;J$1&amp;",",","&amp;SUBSTITUTE(Catalogo!$F126," ","")&amp;",")),Catalogo!$H126&lt;&gt;"N"),"●","")</f>
        <v/>
      </c>
      <c r="K126" s="17">
        <f>IF(AND(ISNUMBER(SEARCH(","&amp;K$1&amp;",",","&amp;SUBSTITUTE(Catalogo!$F126," ","")&amp;",")),Catalogo!$H126&lt;&gt;"N"),"●","")</f>
        <v/>
      </c>
      <c r="L126" s="17">
        <f>IF(AND(ISNUMBER(SEARCH(","&amp;L$1&amp;",",","&amp;SUBSTITUTE(Catalogo!$F126," ","")&amp;",")),Catalogo!$H126&lt;&gt;"N"),"●","")</f>
        <v/>
      </c>
      <c r="M126" s="17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7">
        <f>IF(Catalogo!H127="","(vazio)",Catalogo!H127)</f>
        <v/>
      </c>
      <c r="D127" s="17">
        <f>IF(AND(ISNUMBER(SEARCH(","&amp;D$1&amp;",",","&amp;SUBSTITUTE(Catalogo!$F127," ","")&amp;",")),Catalogo!$H127&lt;&gt;"N"),"●","")</f>
        <v/>
      </c>
      <c r="E127" s="17">
        <f>IF(AND(ISNUMBER(SEARCH(","&amp;E$1&amp;",",","&amp;SUBSTITUTE(Catalogo!$F127," ","")&amp;",")),Catalogo!$H127&lt;&gt;"N"),"●","")</f>
        <v/>
      </c>
      <c r="F127" s="17">
        <f>IF(AND(ISNUMBER(SEARCH(","&amp;F$1&amp;",",","&amp;SUBSTITUTE(Catalogo!$F127," ","")&amp;",")),Catalogo!$H127&lt;&gt;"N"),"●","")</f>
        <v/>
      </c>
      <c r="G127" s="17">
        <f>IF(AND(ISNUMBER(SEARCH(","&amp;G$1&amp;",",","&amp;SUBSTITUTE(Catalogo!$F127," ","")&amp;",")),Catalogo!$H127&lt;&gt;"N"),"●","")</f>
        <v/>
      </c>
      <c r="H127" s="17">
        <f>IF(AND(ISNUMBER(SEARCH(","&amp;H$1&amp;",",","&amp;SUBSTITUTE(Catalogo!$F127," ","")&amp;",")),Catalogo!$H127&lt;&gt;"N"),"●","")</f>
        <v/>
      </c>
      <c r="I127" s="17">
        <f>IF(AND(ISNUMBER(SEARCH(","&amp;I$1&amp;",",","&amp;SUBSTITUTE(Catalogo!$F127," ","")&amp;",")),Catalogo!$H127&lt;&gt;"N"),"●","")</f>
        <v/>
      </c>
      <c r="J127" s="17">
        <f>IF(AND(ISNUMBER(SEARCH(","&amp;J$1&amp;",",","&amp;SUBSTITUTE(Catalogo!$F127," ","")&amp;",")),Catalogo!$H127&lt;&gt;"N"),"●","")</f>
        <v/>
      </c>
      <c r="K127" s="17">
        <f>IF(AND(ISNUMBER(SEARCH(","&amp;K$1&amp;",",","&amp;SUBSTITUTE(Catalogo!$F127," ","")&amp;",")),Catalogo!$H127&lt;&gt;"N"),"●","")</f>
        <v/>
      </c>
      <c r="L127" s="17">
        <f>IF(AND(ISNUMBER(SEARCH(","&amp;L$1&amp;",",","&amp;SUBSTITUTE(Catalogo!$F127," ","")&amp;",")),Catalogo!$H127&lt;&gt;"N"),"●","")</f>
        <v/>
      </c>
      <c r="M127" s="17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7">
        <f>IF(Catalogo!H128="","(vazio)",Catalogo!H128)</f>
        <v/>
      </c>
      <c r="D128" s="17">
        <f>IF(AND(ISNUMBER(SEARCH(","&amp;D$1&amp;",",","&amp;SUBSTITUTE(Catalogo!$F128," ","")&amp;",")),Catalogo!$H128&lt;&gt;"N"),"●","")</f>
        <v/>
      </c>
      <c r="E128" s="17">
        <f>IF(AND(ISNUMBER(SEARCH(","&amp;E$1&amp;",",","&amp;SUBSTITUTE(Catalogo!$F128," ","")&amp;",")),Catalogo!$H128&lt;&gt;"N"),"●","")</f>
        <v/>
      </c>
      <c r="F128" s="17">
        <f>IF(AND(ISNUMBER(SEARCH(","&amp;F$1&amp;",",","&amp;SUBSTITUTE(Catalogo!$F128," ","")&amp;",")),Catalogo!$H128&lt;&gt;"N"),"●","")</f>
        <v/>
      </c>
      <c r="G128" s="17">
        <f>IF(AND(ISNUMBER(SEARCH(","&amp;G$1&amp;",",","&amp;SUBSTITUTE(Catalogo!$F128," ","")&amp;",")),Catalogo!$H128&lt;&gt;"N"),"●","")</f>
        <v/>
      </c>
      <c r="H128" s="17">
        <f>IF(AND(ISNUMBER(SEARCH(","&amp;H$1&amp;",",","&amp;SUBSTITUTE(Catalogo!$F128," ","")&amp;",")),Catalogo!$H128&lt;&gt;"N"),"●","")</f>
        <v/>
      </c>
      <c r="I128" s="17">
        <f>IF(AND(ISNUMBER(SEARCH(","&amp;I$1&amp;",",","&amp;SUBSTITUTE(Catalogo!$F128," ","")&amp;",")),Catalogo!$H128&lt;&gt;"N"),"●","")</f>
        <v/>
      </c>
      <c r="J128" s="17">
        <f>IF(AND(ISNUMBER(SEARCH(","&amp;J$1&amp;",",","&amp;SUBSTITUTE(Catalogo!$F128," ","")&amp;",")),Catalogo!$H128&lt;&gt;"N"),"●","")</f>
        <v/>
      </c>
      <c r="K128" s="17">
        <f>IF(AND(ISNUMBER(SEARCH(","&amp;K$1&amp;",",","&amp;SUBSTITUTE(Catalogo!$F128," ","")&amp;",")),Catalogo!$H128&lt;&gt;"N"),"●","")</f>
        <v/>
      </c>
      <c r="L128" s="17">
        <f>IF(AND(ISNUMBER(SEARCH(","&amp;L$1&amp;",",","&amp;SUBSTITUTE(Catalogo!$F128," ","")&amp;",")),Catalogo!$H128&lt;&gt;"N"),"●","")</f>
        <v/>
      </c>
      <c r="M128" s="17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7">
        <f>IF(Catalogo!H129="","(vazio)",Catalogo!H129)</f>
        <v/>
      </c>
      <c r="D129" s="17">
        <f>IF(AND(ISNUMBER(SEARCH(","&amp;D$1&amp;",",","&amp;SUBSTITUTE(Catalogo!$F129," ","")&amp;",")),Catalogo!$H129&lt;&gt;"N"),"●","")</f>
        <v/>
      </c>
      <c r="E129" s="17">
        <f>IF(AND(ISNUMBER(SEARCH(","&amp;E$1&amp;",",","&amp;SUBSTITUTE(Catalogo!$F129," ","")&amp;",")),Catalogo!$H129&lt;&gt;"N"),"●","")</f>
        <v/>
      </c>
      <c r="F129" s="17">
        <f>IF(AND(ISNUMBER(SEARCH(","&amp;F$1&amp;",",","&amp;SUBSTITUTE(Catalogo!$F129," ","")&amp;",")),Catalogo!$H129&lt;&gt;"N"),"●","")</f>
        <v/>
      </c>
      <c r="G129" s="17">
        <f>IF(AND(ISNUMBER(SEARCH(","&amp;G$1&amp;",",","&amp;SUBSTITUTE(Catalogo!$F129," ","")&amp;",")),Catalogo!$H129&lt;&gt;"N"),"●","")</f>
        <v/>
      </c>
      <c r="H129" s="17">
        <f>IF(AND(ISNUMBER(SEARCH(","&amp;H$1&amp;",",","&amp;SUBSTITUTE(Catalogo!$F129," ","")&amp;",")),Catalogo!$H129&lt;&gt;"N"),"●","")</f>
        <v/>
      </c>
      <c r="I129" s="17">
        <f>IF(AND(ISNUMBER(SEARCH(","&amp;I$1&amp;",",","&amp;SUBSTITUTE(Catalogo!$F129," ","")&amp;",")),Catalogo!$H129&lt;&gt;"N"),"●","")</f>
        <v/>
      </c>
      <c r="J129" s="17">
        <f>IF(AND(ISNUMBER(SEARCH(","&amp;J$1&amp;",",","&amp;SUBSTITUTE(Catalogo!$F129," ","")&amp;",")),Catalogo!$H129&lt;&gt;"N"),"●","")</f>
        <v/>
      </c>
      <c r="K129" s="17">
        <f>IF(AND(ISNUMBER(SEARCH(","&amp;K$1&amp;",",","&amp;SUBSTITUTE(Catalogo!$F129," ","")&amp;",")),Catalogo!$H129&lt;&gt;"N"),"●","")</f>
        <v/>
      </c>
      <c r="L129" s="17">
        <f>IF(AND(ISNUMBER(SEARCH(","&amp;L$1&amp;",",","&amp;SUBSTITUTE(Catalogo!$F129," ","")&amp;",")),Catalogo!$H129&lt;&gt;"N"),"●","")</f>
        <v/>
      </c>
      <c r="M129" s="17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7">
        <f>IF(Catalogo!H130="","(vazio)",Catalogo!H130)</f>
        <v/>
      </c>
      <c r="D130" s="17">
        <f>IF(AND(ISNUMBER(SEARCH(","&amp;D$1&amp;",",","&amp;SUBSTITUTE(Catalogo!$F130," ","")&amp;",")),Catalogo!$H130&lt;&gt;"N"),"●","")</f>
        <v/>
      </c>
      <c r="E130" s="17">
        <f>IF(AND(ISNUMBER(SEARCH(","&amp;E$1&amp;",",","&amp;SUBSTITUTE(Catalogo!$F130," ","")&amp;",")),Catalogo!$H130&lt;&gt;"N"),"●","")</f>
        <v/>
      </c>
      <c r="F130" s="17">
        <f>IF(AND(ISNUMBER(SEARCH(","&amp;F$1&amp;",",","&amp;SUBSTITUTE(Catalogo!$F130," ","")&amp;",")),Catalogo!$H130&lt;&gt;"N"),"●","")</f>
        <v/>
      </c>
      <c r="G130" s="17">
        <f>IF(AND(ISNUMBER(SEARCH(","&amp;G$1&amp;",",","&amp;SUBSTITUTE(Catalogo!$F130," ","")&amp;",")),Catalogo!$H130&lt;&gt;"N"),"●","")</f>
        <v/>
      </c>
      <c r="H130" s="17">
        <f>IF(AND(ISNUMBER(SEARCH(","&amp;H$1&amp;",",","&amp;SUBSTITUTE(Catalogo!$F130," ","")&amp;",")),Catalogo!$H130&lt;&gt;"N"),"●","")</f>
        <v/>
      </c>
      <c r="I130" s="17">
        <f>IF(AND(ISNUMBER(SEARCH(","&amp;I$1&amp;",",","&amp;SUBSTITUTE(Catalogo!$F130," ","")&amp;",")),Catalogo!$H130&lt;&gt;"N"),"●","")</f>
        <v/>
      </c>
      <c r="J130" s="17">
        <f>IF(AND(ISNUMBER(SEARCH(","&amp;J$1&amp;",",","&amp;SUBSTITUTE(Catalogo!$F130," ","")&amp;",")),Catalogo!$H130&lt;&gt;"N"),"●","")</f>
        <v/>
      </c>
      <c r="K130" s="17">
        <f>IF(AND(ISNUMBER(SEARCH(","&amp;K$1&amp;",",","&amp;SUBSTITUTE(Catalogo!$F130," ","")&amp;",")),Catalogo!$H130&lt;&gt;"N"),"●","")</f>
        <v/>
      </c>
      <c r="L130" s="17">
        <f>IF(AND(ISNUMBER(SEARCH(","&amp;L$1&amp;",",","&amp;SUBSTITUTE(Catalogo!$F130," ","")&amp;",")),Catalogo!$H130&lt;&gt;"N"),"●","")</f>
        <v/>
      </c>
      <c r="M130" s="17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7">
        <f>IF(Catalogo!H131="","(vazio)",Catalogo!H131)</f>
        <v/>
      </c>
      <c r="D131" s="17">
        <f>IF(AND(ISNUMBER(SEARCH(","&amp;D$1&amp;",",","&amp;SUBSTITUTE(Catalogo!$F131," ","")&amp;",")),Catalogo!$H131&lt;&gt;"N"),"●","")</f>
        <v/>
      </c>
      <c r="E131" s="17">
        <f>IF(AND(ISNUMBER(SEARCH(","&amp;E$1&amp;",",","&amp;SUBSTITUTE(Catalogo!$F131," ","")&amp;",")),Catalogo!$H131&lt;&gt;"N"),"●","")</f>
        <v/>
      </c>
      <c r="F131" s="17">
        <f>IF(AND(ISNUMBER(SEARCH(","&amp;F$1&amp;",",","&amp;SUBSTITUTE(Catalogo!$F131," ","")&amp;",")),Catalogo!$H131&lt;&gt;"N"),"●","")</f>
        <v/>
      </c>
      <c r="G131" s="17">
        <f>IF(AND(ISNUMBER(SEARCH(","&amp;G$1&amp;",",","&amp;SUBSTITUTE(Catalogo!$F131," ","")&amp;",")),Catalogo!$H131&lt;&gt;"N"),"●","")</f>
        <v/>
      </c>
      <c r="H131" s="17">
        <f>IF(AND(ISNUMBER(SEARCH(","&amp;H$1&amp;",",","&amp;SUBSTITUTE(Catalogo!$F131," ","")&amp;",")),Catalogo!$H131&lt;&gt;"N"),"●","")</f>
        <v/>
      </c>
      <c r="I131" s="17">
        <f>IF(AND(ISNUMBER(SEARCH(","&amp;I$1&amp;",",","&amp;SUBSTITUTE(Catalogo!$F131," ","")&amp;",")),Catalogo!$H131&lt;&gt;"N"),"●","")</f>
        <v/>
      </c>
      <c r="J131" s="17">
        <f>IF(AND(ISNUMBER(SEARCH(","&amp;J$1&amp;",",","&amp;SUBSTITUTE(Catalogo!$F131," ","")&amp;",")),Catalogo!$H131&lt;&gt;"N"),"●","")</f>
        <v/>
      </c>
      <c r="K131" s="17">
        <f>IF(AND(ISNUMBER(SEARCH(","&amp;K$1&amp;",",","&amp;SUBSTITUTE(Catalogo!$F131," ","")&amp;",")),Catalogo!$H131&lt;&gt;"N"),"●","")</f>
        <v/>
      </c>
      <c r="L131" s="17">
        <f>IF(AND(ISNUMBER(SEARCH(","&amp;L$1&amp;",",","&amp;SUBSTITUTE(Catalogo!$F131," ","")&amp;",")),Catalogo!$H131&lt;&gt;"N"),"●","")</f>
        <v/>
      </c>
      <c r="M131" s="17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7">
        <f>IF(Catalogo!H132="","(vazio)",Catalogo!H132)</f>
        <v/>
      </c>
      <c r="D132" s="17">
        <f>IF(AND(ISNUMBER(SEARCH(","&amp;D$1&amp;",",","&amp;SUBSTITUTE(Catalogo!$F132," ","")&amp;",")),Catalogo!$H132&lt;&gt;"N"),"●","")</f>
        <v/>
      </c>
      <c r="E132" s="17">
        <f>IF(AND(ISNUMBER(SEARCH(","&amp;E$1&amp;",",","&amp;SUBSTITUTE(Catalogo!$F132," ","")&amp;",")),Catalogo!$H132&lt;&gt;"N"),"●","")</f>
        <v/>
      </c>
      <c r="F132" s="17">
        <f>IF(AND(ISNUMBER(SEARCH(","&amp;F$1&amp;",",","&amp;SUBSTITUTE(Catalogo!$F132," ","")&amp;",")),Catalogo!$H132&lt;&gt;"N"),"●","")</f>
        <v/>
      </c>
      <c r="G132" s="17">
        <f>IF(AND(ISNUMBER(SEARCH(","&amp;G$1&amp;",",","&amp;SUBSTITUTE(Catalogo!$F132," ","")&amp;",")),Catalogo!$H132&lt;&gt;"N"),"●","")</f>
        <v/>
      </c>
      <c r="H132" s="17">
        <f>IF(AND(ISNUMBER(SEARCH(","&amp;H$1&amp;",",","&amp;SUBSTITUTE(Catalogo!$F132," ","")&amp;",")),Catalogo!$H132&lt;&gt;"N"),"●","")</f>
        <v/>
      </c>
      <c r="I132" s="17">
        <f>IF(AND(ISNUMBER(SEARCH(","&amp;I$1&amp;",",","&amp;SUBSTITUTE(Catalogo!$F132," ","")&amp;",")),Catalogo!$H132&lt;&gt;"N"),"●","")</f>
        <v/>
      </c>
      <c r="J132" s="17">
        <f>IF(AND(ISNUMBER(SEARCH(","&amp;J$1&amp;",",","&amp;SUBSTITUTE(Catalogo!$F132," ","")&amp;",")),Catalogo!$H132&lt;&gt;"N"),"●","")</f>
        <v/>
      </c>
      <c r="K132" s="17">
        <f>IF(AND(ISNUMBER(SEARCH(","&amp;K$1&amp;",",","&amp;SUBSTITUTE(Catalogo!$F132," ","")&amp;",")),Catalogo!$H132&lt;&gt;"N"),"●","")</f>
        <v/>
      </c>
      <c r="L132" s="17">
        <f>IF(AND(ISNUMBER(SEARCH(","&amp;L$1&amp;",",","&amp;SUBSTITUTE(Catalogo!$F132," ","")&amp;",")),Catalogo!$H132&lt;&gt;"N"),"●","")</f>
        <v/>
      </c>
      <c r="M132" s="17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7">
        <f>IF(Catalogo!H133="","(vazio)",Catalogo!H133)</f>
        <v/>
      </c>
      <c r="D133" s="17">
        <f>IF(AND(ISNUMBER(SEARCH(","&amp;D$1&amp;",",","&amp;SUBSTITUTE(Catalogo!$F133," ","")&amp;",")),Catalogo!$H133&lt;&gt;"N"),"●","")</f>
        <v/>
      </c>
      <c r="E133" s="17">
        <f>IF(AND(ISNUMBER(SEARCH(","&amp;E$1&amp;",",","&amp;SUBSTITUTE(Catalogo!$F133," ","")&amp;",")),Catalogo!$H133&lt;&gt;"N"),"●","")</f>
        <v/>
      </c>
      <c r="F133" s="17">
        <f>IF(AND(ISNUMBER(SEARCH(","&amp;F$1&amp;",",","&amp;SUBSTITUTE(Catalogo!$F133," ","")&amp;",")),Catalogo!$H133&lt;&gt;"N"),"●","")</f>
        <v/>
      </c>
      <c r="G133" s="17">
        <f>IF(AND(ISNUMBER(SEARCH(","&amp;G$1&amp;",",","&amp;SUBSTITUTE(Catalogo!$F133," ","")&amp;",")),Catalogo!$H133&lt;&gt;"N"),"●","")</f>
        <v/>
      </c>
      <c r="H133" s="17">
        <f>IF(AND(ISNUMBER(SEARCH(","&amp;H$1&amp;",",","&amp;SUBSTITUTE(Catalogo!$F133," ","")&amp;",")),Catalogo!$H133&lt;&gt;"N"),"●","")</f>
        <v/>
      </c>
      <c r="I133" s="17">
        <f>IF(AND(ISNUMBER(SEARCH(","&amp;I$1&amp;",",","&amp;SUBSTITUTE(Catalogo!$F133," ","")&amp;",")),Catalogo!$H133&lt;&gt;"N"),"●","")</f>
        <v/>
      </c>
      <c r="J133" s="17">
        <f>IF(AND(ISNUMBER(SEARCH(","&amp;J$1&amp;",",","&amp;SUBSTITUTE(Catalogo!$F133," ","")&amp;",")),Catalogo!$H133&lt;&gt;"N"),"●","")</f>
        <v/>
      </c>
      <c r="K133" s="17">
        <f>IF(AND(ISNUMBER(SEARCH(","&amp;K$1&amp;",",","&amp;SUBSTITUTE(Catalogo!$F133," ","")&amp;",")),Catalogo!$H133&lt;&gt;"N"),"●","")</f>
        <v/>
      </c>
      <c r="L133" s="17">
        <f>IF(AND(ISNUMBER(SEARCH(","&amp;L$1&amp;",",","&amp;SUBSTITUTE(Catalogo!$F133," ","")&amp;",")),Catalogo!$H133&lt;&gt;"N"),"●","")</f>
        <v/>
      </c>
      <c r="M133" s="17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7">
        <f>IF(Catalogo!H134="","(vazio)",Catalogo!H134)</f>
        <v/>
      </c>
      <c r="D134" s="17">
        <f>IF(AND(ISNUMBER(SEARCH(","&amp;D$1&amp;",",","&amp;SUBSTITUTE(Catalogo!$F134," ","")&amp;",")),Catalogo!$H134&lt;&gt;"N"),"●","")</f>
        <v/>
      </c>
      <c r="E134" s="17">
        <f>IF(AND(ISNUMBER(SEARCH(","&amp;E$1&amp;",",","&amp;SUBSTITUTE(Catalogo!$F134," ","")&amp;",")),Catalogo!$H134&lt;&gt;"N"),"●","")</f>
        <v/>
      </c>
      <c r="F134" s="17">
        <f>IF(AND(ISNUMBER(SEARCH(","&amp;F$1&amp;",",","&amp;SUBSTITUTE(Catalogo!$F134," ","")&amp;",")),Catalogo!$H134&lt;&gt;"N"),"●","")</f>
        <v/>
      </c>
      <c r="G134" s="17">
        <f>IF(AND(ISNUMBER(SEARCH(","&amp;G$1&amp;",",","&amp;SUBSTITUTE(Catalogo!$F134," ","")&amp;",")),Catalogo!$H134&lt;&gt;"N"),"●","")</f>
        <v/>
      </c>
      <c r="H134" s="17">
        <f>IF(AND(ISNUMBER(SEARCH(","&amp;H$1&amp;",",","&amp;SUBSTITUTE(Catalogo!$F134," ","")&amp;",")),Catalogo!$H134&lt;&gt;"N"),"●","")</f>
        <v/>
      </c>
      <c r="I134" s="17">
        <f>IF(AND(ISNUMBER(SEARCH(","&amp;I$1&amp;",",","&amp;SUBSTITUTE(Catalogo!$F134," ","")&amp;",")),Catalogo!$H134&lt;&gt;"N"),"●","")</f>
        <v/>
      </c>
      <c r="J134" s="17">
        <f>IF(AND(ISNUMBER(SEARCH(","&amp;J$1&amp;",",","&amp;SUBSTITUTE(Catalogo!$F134," ","")&amp;",")),Catalogo!$H134&lt;&gt;"N"),"●","")</f>
        <v/>
      </c>
      <c r="K134" s="17">
        <f>IF(AND(ISNUMBER(SEARCH(","&amp;K$1&amp;",",","&amp;SUBSTITUTE(Catalogo!$F134," ","")&amp;",")),Catalogo!$H134&lt;&gt;"N"),"●","")</f>
        <v/>
      </c>
      <c r="L134" s="17">
        <f>IF(AND(ISNUMBER(SEARCH(","&amp;L$1&amp;",",","&amp;SUBSTITUTE(Catalogo!$F134," ","")&amp;",")),Catalogo!$H134&lt;&gt;"N"),"●","")</f>
        <v/>
      </c>
      <c r="M134" s="17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7">
        <f>IF(Catalogo!H135="","(vazio)",Catalogo!H135)</f>
        <v/>
      </c>
      <c r="D135" s="17">
        <f>IF(AND(ISNUMBER(SEARCH(","&amp;D$1&amp;",",","&amp;SUBSTITUTE(Catalogo!$F135," ","")&amp;",")),Catalogo!$H135&lt;&gt;"N"),"●","")</f>
        <v/>
      </c>
      <c r="E135" s="17">
        <f>IF(AND(ISNUMBER(SEARCH(","&amp;E$1&amp;",",","&amp;SUBSTITUTE(Catalogo!$F135," ","")&amp;",")),Catalogo!$H135&lt;&gt;"N"),"●","")</f>
        <v/>
      </c>
      <c r="F135" s="17">
        <f>IF(AND(ISNUMBER(SEARCH(","&amp;F$1&amp;",",","&amp;SUBSTITUTE(Catalogo!$F135," ","")&amp;",")),Catalogo!$H135&lt;&gt;"N"),"●","")</f>
        <v/>
      </c>
      <c r="G135" s="17">
        <f>IF(AND(ISNUMBER(SEARCH(","&amp;G$1&amp;",",","&amp;SUBSTITUTE(Catalogo!$F135," ","")&amp;",")),Catalogo!$H135&lt;&gt;"N"),"●","")</f>
        <v/>
      </c>
      <c r="H135" s="17">
        <f>IF(AND(ISNUMBER(SEARCH(","&amp;H$1&amp;",",","&amp;SUBSTITUTE(Catalogo!$F135," ","")&amp;",")),Catalogo!$H135&lt;&gt;"N"),"●","")</f>
        <v/>
      </c>
      <c r="I135" s="17">
        <f>IF(AND(ISNUMBER(SEARCH(","&amp;I$1&amp;",",","&amp;SUBSTITUTE(Catalogo!$F135," ","")&amp;",")),Catalogo!$H135&lt;&gt;"N"),"●","")</f>
        <v/>
      </c>
      <c r="J135" s="17">
        <f>IF(AND(ISNUMBER(SEARCH(","&amp;J$1&amp;",",","&amp;SUBSTITUTE(Catalogo!$F135," ","")&amp;",")),Catalogo!$H135&lt;&gt;"N"),"●","")</f>
        <v/>
      </c>
      <c r="K135" s="17">
        <f>IF(AND(ISNUMBER(SEARCH(","&amp;K$1&amp;",",","&amp;SUBSTITUTE(Catalogo!$F135," ","")&amp;",")),Catalogo!$H135&lt;&gt;"N"),"●","")</f>
        <v/>
      </c>
      <c r="L135" s="17">
        <f>IF(AND(ISNUMBER(SEARCH(","&amp;L$1&amp;",",","&amp;SUBSTITUTE(Catalogo!$F135," ","")&amp;",")),Catalogo!$H135&lt;&gt;"N"),"●","")</f>
        <v/>
      </c>
      <c r="M135" s="17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7">
        <f>IF(Catalogo!H136="","(vazio)",Catalogo!H136)</f>
        <v/>
      </c>
      <c r="D136" s="17">
        <f>IF(AND(ISNUMBER(SEARCH(","&amp;D$1&amp;",",","&amp;SUBSTITUTE(Catalogo!$F136," ","")&amp;",")),Catalogo!$H136&lt;&gt;"N"),"●","")</f>
        <v/>
      </c>
      <c r="E136" s="17">
        <f>IF(AND(ISNUMBER(SEARCH(","&amp;E$1&amp;",",","&amp;SUBSTITUTE(Catalogo!$F136," ","")&amp;",")),Catalogo!$H136&lt;&gt;"N"),"●","")</f>
        <v/>
      </c>
      <c r="F136" s="17">
        <f>IF(AND(ISNUMBER(SEARCH(","&amp;F$1&amp;",",","&amp;SUBSTITUTE(Catalogo!$F136," ","")&amp;",")),Catalogo!$H136&lt;&gt;"N"),"●","")</f>
        <v/>
      </c>
      <c r="G136" s="17">
        <f>IF(AND(ISNUMBER(SEARCH(","&amp;G$1&amp;",",","&amp;SUBSTITUTE(Catalogo!$F136," ","")&amp;",")),Catalogo!$H136&lt;&gt;"N"),"●","")</f>
        <v/>
      </c>
      <c r="H136" s="17">
        <f>IF(AND(ISNUMBER(SEARCH(","&amp;H$1&amp;",",","&amp;SUBSTITUTE(Catalogo!$F136," ","")&amp;",")),Catalogo!$H136&lt;&gt;"N"),"●","")</f>
        <v/>
      </c>
      <c r="I136" s="17">
        <f>IF(AND(ISNUMBER(SEARCH(","&amp;I$1&amp;",",","&amp;SUBSTITUTE(Catalogo!$F136," ","")&amp;",")),Catalogo!$H136&lt;&gt;"N"),"●","")</f>
        <v/>
      </c>
      <c r="J136" s="17">
        <f>IF(AND(ISNUMBER(SEARCH(","&amp;J$1&amp;",",","&amp;SUBSTITUTE(Catalogo!$F136," ","")&amp;",")),Catalogo!$H136&lt;&gt;"N"),"●","")</f>
        <v/>
      </c>
      <c r="K136" s="17">
        <f>IF(AND(ISNUMBER(SEARCH(","&amp;K$1&amp;",",","&amp;SUBSTITUTE(Catalogo!$F136," ","")&amp;",")),Catalogo!$H136&lt;&gt;"N"),"●","")</f>
        <v/>
      </c>
      <c r="L136" s="17">
        <f>IF(AND(ISNUMBER(SEARCH(","&amp;L$1&amp;",",","&amp;SUBSTITUTE(Catalogo!$F136," ","")&amp;",")),Catalogo!$H136&lt;&gt;"N"),"●","")</f>
        <v/>
      </c>
      <c r="M136" s="17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7">
        <f>IF(Catalogo!H137="","(vazio)",Catalogo!H137)</f>
        <v/>
      </c>
      <c r="D137" s="17">
        <f>IF(AND(ISNUMBER(SEARCH(","&amp;D$1&amp;",",","&amp;SUBSTITUTE(Catalogo!$F137," ","")&amp;",")),Catalogo!$H137&lt;&gt;"N"),"●","")</f>
        <v/>
      </c>
      <c r="E137" s="17">
        <f>IF(AND(ISNUMBER(SEARCH(","&amp;E$1&amp;",",","&amp;SUBSTITUTE(Catalogo!$F137," ","")&amp;",")),Catalogo!$H137&lt;&gt;"N"),"●","")</f>
        <v/>
      </c>
      <c r="F137" s="17">
        <f>IF(AND(ISNUMBER(SEARCH(","&amp;F$1&amp;",",","&amp;SUBSTITUTE(Catalogo!$F137," ","")&amp;",")),Catalogo!$H137&lt;&gt;"N"),"●","")</f>
        <v/>
      </c>
      <c r="G137" s="17">
        <f>IF(AND(ISNUMBER(SEARCH(","&amp;G$1&amp;",",","&amp;SUBSTITUTE(Catalogo!$F137," ","")&amp;",")),Catalogo!$H137&lt;&gt;"N"),"●","")</f>
        <v/>
      </c>
      <c r="H137" s="17">
        <f>IF(AND(ISNUMBER(SEARCH(","&amp;H$1&amp;",",","&amp;SUBSTITUTE(Catalogo!$F137," ","")&amp;",")),Catalogo!$H137&lt;&gt;"N"),"●","")</f>
        <v/>
      </c>
      <c r="I137" s="17">
        <f>IF(AND(ISNUMBER(SEARCH(","&amp;I$1&amp;",",","&amp;SUBSTITUTE(Catalogo!$F137," ","")&amp;",")),Catalogo!$H137&lt;&gt;"N"),"●","")</f>
        <v/>
      </c>
      <c r="J137" s="17">
        <f>IF(AND(ISNUMBER(SEARCH(","&amp;J$1&amp;",",","&amp;SUBSTITUTE(Catalogo!$F137," ","")&amp;",")),Catalogo!$H137&lt;&gt;"N"),"●","")</f>
        <v/>
      </c>
      <c r="K137" s="17">
        <f>IF(AND(ISNUMBER(SEARCH(","&amp;K$1&amp;",",","&amp;SUBSTITUTE(Catalogo!$F137," ","")&amp;",")),Catalogo!$H137&lt;&gt;"N"),"●","")</f>
        <v/>
      </c>
      <c r="L137" s="17">
        <f>IF(AND(ISNUMBER(SEARCH(","&amp;L$1&amp;",",","&amp;SUBSTITUTE(Catalogo!$F137," ","")&amp;",")),Catalogo!$H137&lt;&gt;"N"),"●","")</f>
        <v/>
      </c>
      <c r="M137" s="17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7">
        <f>IF(Catalogo!H138="","(vazio)",Catalogo!H138)</f>
        <v/>
      </c>
      <c r="D138" s="17">
        <f>IF(AND(ISNUMBER(SEARCH(","&amp;D$1&amp;",",","&amp;SUBSTITUTE(Catalogo!$F138," ","")&amp;",")),Catalogo!$H138&lt;&gt;"N"),"●","")</f>
        <v/>
      </c>
      <c r="E138" s="17">
        <f>IF(AND(ISNUMBER(SEARCH(","&amp;E$1&amp;",",","&amp;SUBSTITUTE(Catalogo!$F138," ","")&amp;",")),Catalogo!$H138&lt;&gt;"N"),"●","")</f>
        <v/>
      </c>
      <c r="F138" s="17">
        <f>IF(AND(ISNUMBER(SEARCH(","&amp;F$1&amp;",",","&amp;SUBSTITUTE(Catalogo!$F138," ","")&amp;",")),Catalogo!$H138&lt;&gt;"N"),"●","")</f>
        <v/>
      </c>
      <c r="G138" s="17">
        <f>IF(AND(ISNUMBER(SEARCH(","&amp;G$1&amp;",",","&amp;SUBSTITUTE(Catalogo!$F138," ","")&amp;",")),Catalogo!$H138&lt;&gt;"N"),"●","")</f>
        <v/>
      </c>
      <c r="H138" s="17">
        <f>IF(AND(ISNUMBER(SEARCH(","&amp;H$1&amp;",",","&amp;SUBSTITUTE(Catalogo!$F138," ","")&amp;",")),Catalogo!$H138&lt;&gt;"N"),"●","")</f>
        <v/>
      </c>
      <c r="I138" s="17">
        <f>IF(AND(ISNUMBER(SEARCH(","&amp;I$1&amp;",",","&amp;SUBSTITUTE(Catalogo!$F138," ","")&amp;",")),Catalogo!$H138&lt;&gt;"N"),"●","")</f>
        <v/>
      </c>
      <c r="J138" s="17">
        <f>IF(AND(ISNUMBER(SEARCH(","&amp;J$1&amp;",",","&amp;SUBSTITUTE(Catalogo!$F138," ","")&amp;",")),Catalogo!$H138&lt;&gt;"N"),"●","")</f>
        <v/>
      </c>
      <c r="K138" s="17">
        <f>IF(AND(ISNUMBER(SEARCH(","&amp;K$1&amp;",",","&amp;SUBSTITUTE(Catalogo!$F138," ","")&amp;",")),Catalogo!$H138&lt;&gt;"N"),"●","")</f>
        <v/>
      </c>
      <c r="L138" s="17">
        <f>IF(AND(ISNUMBER(SEARCH(","&amp;L$1&amp;",",","&amp;SUBSTITUTE(Catalogo!$F138," ","")&amp;",")),Catalogo!$H138&lt;&gt;"N"),"●","")</f>
        <v/>
      </c>
      <c r="M138" s="17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7">
        <f>IF(Catalogo!H139="","(vazio)",Catalogo!H139)</f>
        <v/>
      </c>
      <c r="D139" s="17">
        <f>IF(AND(ISNUMBER(SEARCH(","&amp;D$1&amp;",",","&amp;SUBSTITUTE(Catalogo!$F139," ","")&amp;",")),Catalogo!$H139&lt;&gt;"N"),"●","")</f>
        <v/>
      </c>
      <c r="E139" s="17">
        <f>IF(AND(ISNUMBER(SEARCH(","&amp;E$1&amp;",",","&amp;SUBSTITUTE(Catalogo!$F139," ","")&amp;",")),Catalogo!$H139&lt;&gt;"N"),"●","")</f>
        <v/>
      </c>
      <c r="F139" s="17">
        <f>IF(AND(ISNUMBER(SEARCH(","&amp;F$1&amp;",",","&amp;SUBSTITUTE(Catalogo!$F139," ","")&amp;",")),Catalogo!$H139&lt;&gt;"N"),"●","")</f>
        <v/>
      </c>
      <c r="G139" s="17">
        <f>IF(AND(ISNUMBER(SEARCH(","&amp;G$1&amp;",",","&amp;SUBSTITUTE(Catalogo!$F139," ","")&amp;",")),Catalogo!$H139&lt;&gt;"N"),"●","")</f>
        <v/>
      </c>
      <c r="H139" s="17">
        <f>IF(AND(ISNUMBER(SEARCH(","&amp;H$1&amp;",",","&amp;SUBSTITUTE(Catalogo!$F139," ","")&amp;",")),Catalogo!$H139&lt;&gt;"N"),"●","")</f>
        <v/>
      </c>
      <c r="I139" s="17">
        <f>IF(AND(ISNUMBER(SEARCH(","&amp;I$1&amp;",",","&amp;SUBSTITUTE(Catalogo!$F139," ","")&amp;",")),Catalogo!$H139&lt;&gt;"N"),"●","")</f>
        <v/>
      </c>
      <c r="J139" s="17">
        <f>IF(AND(ISNUMBER(SEARCH(","&amp;J$1&amp;",",","&amp;SUBSTITUTE(Catalogo!$F139," ","")&amp;",")),Catalogo!$H139&lt;&gt;"N"),"●","")</f>
        <v/>
      </c>
      <c r="K139" s="17">
        <f>IF(AND(ISNUMBER(SEARCH(","&amp;K$1&amp;",",","&amp;SUBSTITUTE(Catalogo!$F139," ","")&amp;",")),Catalogo!$H139&lt;&gt;"N"),"●","")</f>
        <v/>
      </c>
      <c r="L139" s="17">
        <f>IF(AND(ISNUMBER(SEARCH(","&amp;L$1&amp;",",","&amp;SUBSTITUTE(Catalogo!$F139," ","")&amp;",")),Catalogo!$H139&lt;&gt;"N"),"●","")</f>
        <v/>
      </c>
      <c r="M139" s="17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7">
        <f>IF(Catalogo!H140="","(vazio)",Catalogo!H140)</f>
        <v/>
      </c>
      <c r="D140" s="17">
        <f>IF(AND(ISNUMBER(SEARCH(","&amp;D$1&amp;",",","&amp;SUBSTITUTE(Catalogo!$F140," ","")&amp;",")),Catalogo!$H140&lt;&gt;"N"),"●","")</f>
        <v/>
      </c>
      <c r="E140" s="17">
        <f>IF(AND(ISNUMBER(SEARCH(","&amp;E$1&amp;",",","&amp;SUBSTITUTE(Catalogo!$F140," ","")&amp;",")),Catalogo!$H140&lt;&gt;"N"),"●","")</f>
        <v/>
      </c>
      <c r="F140" s="17">
        <f>IF(AND(ISNUMBER(SEARCH(","&amp;F$1&amp;",",","&amp;SUBSTITUTE(Catalogo!$F140," ","")&amp;",")),Catalogo!$H140&lt;&gt;"N"),"●","")</f>
        <v/>
      </c>
      <c r="G140" s="17">
        <f>IF(AND(ISNUMBER(SEARCH(","&amp;G$1&amp;",",","&amp;SUBSTITUTE(Catalogo!$F140," ","")&amp;",")),Catalogo!$H140&lt;&gt;"N"),"●","")</f>
        <v/>
      </c>
      <c r="H140" s="17">
        <f>IF(AND(ISNUMBER(SEARCH(","&amp;H$1&amp;",",","&amp;SUBSTITUTE(Catalogo!$F140," ","")&amp;",")),Catalogo!$H140&lt;&gt;"N"),"●","")</f>
        <v/>
      </c>
      <c r="I140" s="17">
        <f>IF(AND(ISNUMBER(SEARCH(","&amp;I$1&amp;",",","&amp;SUBSTITUTE(Catalogo!$F140," ","")&amp;",")),Catalogo!$H140&lt;&gt;"N"),"●","")</f>
        <v/>
      </c>
      <c r="J140" s="17">
        <f>IF(AND(ISNUMBER(SEARCH(","&amp;J$1&amp;",",","&amp;SUBSTITUTE(Catalogo!$F140," ","")&amp;",")),Catalogo!$H140&lt;&gt;"N"),"●","")</f>
        <v/>
      </c>
      <c r="K140" s="17">
        <f>IF(AND(ISNUMBER(SEARCH(","&amp;K$1&amp;",",","&amp;SUBSTITUTE(Catalogo!$F140," ","")&amp;",")),Catalogo!$H140&lt;&gt;"N"),"●","")</f>
        <v/>
      </c>
      <c r="L140" s="17">
        <f>IF(AND(ISNUMBER(SEARCH(","&amp;L$1&amp;",",","&amp;SUBSTITUTE(Catalogo!$F140," ","")&amp;",")),Catalogo!$H140&lt;&gt;"N"),"●","")</f>
        <v/>
      </c>
      <c r="M140" s="17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7">
        <f>IF(Catalogo!H141="","(vazio)",Catalogo!H141)</f>
        <v/>
      </c>
      <c r="D141" s="17">
        <f>IF(AND(ISNUMBER(SEARCH(","&amp;D$1&amp;",",","&amp;SUBSTITUTE(Catalogo!$F141," ","")&amp;",")),Catalogo!$H141&lt;&gt;"N"),"●","")</f>
        <v/>
      </c>
      <c r="E141" s="17">
        <f>IF(AND(ISNUMBER(SEARCH(","&amp;E$1&amp;",",","&amp;SUBSTITUTE(Catalogo!$F141," ","")&amp;",")),Catalogo!$H141&lt;&gt;"N"),"●","")</f>
        <v/>
      </c>
      <c r="F141" s="17">
        <f>IF(AND(ISNUMBER(SEARCH(","&amp;F$1&amp;",",","&amp;SUBSTITUTE(Catalogo!$F141," ","")&amp;",")),Catalogo!$H141&lt;&gt;"N"),"●","")</f>
        <v/>
      </c>
      <c r="G141" s="17">
        <f>IF(AND(ISNUMBER(SEARCH(","&amp;G$1&amp;",",","&amp;SUBSTITUTE(Catalogo!$F141," ","")&amp;",")),Catalogo!$H141&lt;&gt;"N"),"●","")</f>
        <v/>
      </c>
      <c r="H141" s="17">
        <f>IF(AND(ISNUMBER(SEARCH(","&amp;H$1&amp;",",","&amp;SUBSTITUTE(Catalogo!$F141," ","")&amp;",")),Catalogo!$H141&lt;&gt;"N"),"●","")</f>
        <v/>
      </c>
      <c r="I141" s="17">
        <f>IF(AND(ISNUMBER(SEARCH(","&amp;I$1&amp;",",","&amp;SUBSTITUTE(Catalogo!$F141," ","")&amp;",")),Catalogo!$H141&lt;&gt;"N"),"●","")</f>
        <v/>
      </c>
      <c r="J141" s="17">
        <f>IF(AND(ISNUMBER(SEARCH(","&amp;J$1&amp;",",","&amp;SUBSTITUTE(Catalogo!$F141," ","")&amp;",")),Catalogo!$H141&lt;&gt;"N"),"●","")</f>
        <v/>
      </c>
      <c r="K141" s="17">
        <f>IF(AND(ISNUMBER(SEARCH(","&amp;K$1&amp;",",","&amp;SUBSTITUTE(Catalogo!$F141," ","")&amp;",")),Catalogo!$H141&lt;&gt;"N"),"●","")</f>
        <v/>
      </c>
      <c r="L141" s="17">
        <f>IF(AND(ISNUMBER(SEARCH(","&amp;L$1&amp;",",","&amp;SUBSTITUTE(Catalogo!$F141," ","")&amp;",")),Catalogo!$H141&lt;&gt;"N"),"●","")</f>
        <v/>
      </c>
      <c r="M141" s="17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7">
        <f>IF(Catalogo!H142="","(vazio)",Catalogo!H142)</f>
        <v/>
      </c>
      <c r="D142" s="17">
        <f>IF(AND(ISNUMBER(SEARCH(","&amp;D$1&amp;",",","&amp;SUBSTITUTE(Catalogo!$F142," ","")&amp;",")),Catalogo!$H142&lt;&gt;"N"),"●","")</f>
        <v/>
      </c>
      <c r="E142" s="17">
        <f>IF(AND(ISNUMBER(SEARCH(","&amp;E$1&amp;",",","&amp;SUBSTITUTE(Catalogo!$F142," ","")&amp;",")),Catalogo!$H142&lt;&gt;"N"),"●","")</f>
        <v/>
      </c>
      <c r="F142" s="17">
        <f>IF(AND(ISNUMBER(SEARCH(","&amp;F$1&amp;",",","&amp;SUBSTITUTE(Catalogo!$F142," ","")&amp;",")),Catalogo!$H142&lt;&gt;"N"),"●","")</f>
        <v/>
      </c>
      <c r="G142" s="17">
        <f>IF(AND(ISNUMBER(SEARCH(","&amp;G$1&amp;",",","&amp;SUBSTITUTE(Catalogo!$F142," ","")&amp;",")),Catalogo!$H142&lt;&gt;"N"),"●","")</f>
        <v/>
      </c>
      <c r="H142" s="17">
        <f>IF(AND(ISNUMBER(SEARCH(","&amp;H$1&amp;",",","&amp;SUBSTITUTE(Catalogo!$F142," ","")&amp;",")),Catalogo!$H142&lt;&gt;"N"),"●","")</f>
        <v/>
      </c>
      <c r="I142" s="17">
        <f>IF(AND(ISNUMBER(SEARCH(","&amp;I$1&amp;",",","&amp;SUBSTITUTE(Catalogo!$F142," ","")&amp;",")),Catalogo!$H142&lt;&gt;"N"),"●","")</f>
        <v/>
      </c>
      <c r="J142" s="17">
        <f>IF(AND(ISNUMBER(SEARCH(","&amp;J$1&amp;",",","&amp;SUBSTITUTE(Catalogo!$F142," ","")&amp;",")),Catalogo!$H142&lt;&gt;"N"),"●","")</f>
        <v/>
      </c>
      <c r="K142" s="17">
        <f>IF(AND(ISNUMBER(SEARCH(","&amp;K$1&amp;",",","&amp;SUBSTITUTE(Catalogo!$F142," ","")&amp;",")),Catalogo!$H142&lt;&gt;"N"),"●","")</f>
        <v/>
      </c>
      <c r="L142" s="17">
        <f>IF(AND(ISNUMBER(SEARCH(","&amp;L$1&amp;",",","&amp;SUBSTITUTE(Catalogo!$F142," ","")&amp;",")),Catalogo!$H142&lt;&gt;"N"),"●","")</f>
        <v/>
      </c>
      <c r="M142" s="17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7">
        <f>IF(Catalogo!H143="","(vazio)",Catalogo!H143)</f>
        <v/>
      </c>
      <c r="D143" s="17">
        <f>IF(AND(ISNUMBER(SEARCH(","&amp;D$1&amp;",",","&amp;SUBSTITUTE(Catalogo!$F143," ","")&amp;",")),Catalogo!$H143&lt;&gt;"N"),"●","")</f>
        <v/>
      </c>
      <c r="E143" s="17">
        <f>IF(AND(ISNUMBER(SEARCH(","&amp;E$1&amp;",",","&amp;SUBSTITUTE(Catalogo!$F143," ","")&amp;",")),Catalogo!$H143&lt;&gt;"N"),"●","")</f>
        <v/>
      </c>
      <c r="F143" s="17">
        <f>IF(AND(ISNUMBER(SEARCH(","&amp;F$1&amp;",",","&amp;SUBSTITUTE(Catalogo!$F143," ","")&amp;",")),Catalogo!$H143&lt;&gt;"N"),"●","")</f>
        <v/>
      </c>
      <c r="G143" s="17">
        <f>IF(AND(ISNUMBER(SEARCH(","&amp;G$1&amp;",",","&amp;SUBSTITUTE(Catalogo!$F143," ","")&amp;",")),Catalogo!$H143&lt;&gt;"N"),"●","")</f>
        <v/>
      </c>
      <c r="H143" s="17">
        <f>IF(AND(ISNUMBER(SEARCH(","&amp;H$1&amp;",",","&amp;SUBSTITUTE(Catalogo!$F143," ","")&amp;",")),Catalogo!$H143&lt;&gt;"N"),"●","")</f>
        <v/>
      </c>
      <c r="I143" s="17">
        <f>IF(AND(ISNUMBER(SEARCH(","&amp;I$1&amp;",",","&amp;SUBSTITUTE(Catalogo!$F143," ","")&amp;",")),Catalogo!$H143&lt;&gt;"N"),"●","")</f>
        <v/>
      </c>
      <c r="J143" s="17">
        <f>IF(AND(ISNUMBER(SEARCH(","&amp;J$1&amp;",",","&amp;SUBSTITUTE(Catalogo!$F143," ","")&amp;",")),Catalogo!$H143&lt;&gt;"N"),"●","")</f>
        <v/>
      </c>
      <c r="K143" s="17">
        <f>IF(AND(ISNUMBER(SEARCH(","&amp;K$1&amp;",",","&amp;SUBSTITUTE(Catalogo!$F143," ","")&amp;",")),Catalogo!$H143&lt;&gt;"N"),"●","")</f>
        <v/>
      </c>
      <c r="L143" s="17">
        <f>IF(AND(ISNUMBER(SEARCH(","&amp;L$1&amp;",",","&amp;SUBSTITUTE(Catalogo!$F143," ","")&amp;",")),Catalogo!$H143&lt;&gt;"N"),"●","")</f>
        <v/>
      </c>
      <c r="M143" s="17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7">
        <f>IF(Catalogo!H144="","(vazio)",Catalogo!H144)</f>
        <v/>
      </c>
      <c r="D144" s="17">
        <f>IF(AND(ISNUMBER(SEARCH(","&amp;D$1&amp;",",","&amp;SUBSTITUTE(Catalogo!$F144," ","")&amp;",")),Catalogo!$H144&lt;&gt;"N"),"●","")</f>
        <v/>
      </c>
      <c r="E144" s="17">
        <f>IF(AND(ISNUMBER(SEARCH(","&amp;E$1&amp;",",","&amp;SUBSTITUTE(Catalogo!$F144," ","")&amp;",")),Catalogo!$H144&lt;&gt;"N"),"●","")</f>
        <v/>
      </c>
      <c r="F144" s="17">
        <f>IF(AND(ISNUMBER(SEARCH(","&amp;F$1&amp;",",","&amp;SUBSTITUTE(Catalogo!$F144," ","")&amp;",")),Catalogo!$H144&lt;&gt;"N"),"●","")</f>
        <v/>
      </c>
      <c r="G144" s="17">
        <f>IF(AND(ISNUMBER(SEARCH(","&amp;G$1&amp;",",","&amp;SUBSTITUTE(Catalogo!$F144," ","")&amp;",")),Catalogo!$H144&lt;&gt;"N"),"●","")</f>
        <v/>
      </c>
      <c r="H144" s="17">
        <f>IF(AND(ISNUMBER(SEARCH(","&amp;H$1&amp;",",","&amp;SUBSTITUTE(Catalogo!$F144," ","")&amp;",")),Catalogo!$H144&lt;&gt;"N"),"●","")</f>
        <v/>
      </c>
      <c r="I144" s="17">
        <f>IF(AND(ISNUMBER(SEARCH(","&amp;I$1&amp;",",","&amp;SUBSTITUTE(Catalogo!$F144," ","")&amp;",")),Catalogo!$H144&lt;&gt;"N"),"●","")</f>
        <v/>
      </c>
      <c r="J144" s="17">
        <f>IF(AND(ISNUMBER(SEARCH(","&amp;J$1&amp;",",","&amp;SUBSTITUTE(Catalogo!$F144," ","")&amp;",")),Catalogo!$H144&lt;&gt;"N"),"●","")</f>
        <v/>
      </c>
      <c r="K144" s="17">
        <f>IF(AND(ISNUMBER(SEARCH(","&amp;K$1&amp;",",","&amp;SUBSTITUTE(Catalogo!$F144," ","")&amp;",")),Catalogo!$H144&lt;&gt;"N"),"●","")</f>
        <v/>
      </c>
      <c r="L144" s="17">
        <f>IF(AND(ISNUMBER(SEARCH(","&amp;L$1&amp;",",","&amp;SUBSTITUTE(Catalogo!$F144," ","")&amp;",")),Catalogo!$H144&lt;&gt;"N"),"●","")</f>
        <v/>
      </c>
      <c r="M144" s="17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7">
        <f>IF(Catalogo!H145="","(vazio)",Catalogo!H145)</f>
        <v/>
      </c>
      <c r="D145" s="17">
        <f>IF(AND(ISNUMBER(SEARCH(","&amp;D$1&amp;",",","&amp;SUBSTITUTE(Catalogo!$F145," ","")&amp;",")),Catalogo!$H145&lt;&gt;"N"),"●","")</f>
        <v/>
      </c>
      <c r="E145" s="17">
        <f>IF(AND(ISNUMBER(SEARCH(","&amp;E$1&amp;",",","&amp;SUBSTITUTE(Catalogo!$F145," ","")&amp;",")),Catalogo!$H145&lt;&gt;"N"),"●","")</f>
        <v/>
      </c>
      <c r="F145" s="17">
        <f>IF(AND(ISNUMBER(SEARCH(","&amp;F$1&amp;",",","&amp;SUBSTITUTE(Catalogo!$F145," ","")&amp;",")),Catalogo!$H145&lt;&gt;"N"),"●","")</f>
        <v/>
      </c>
      <c r="G145" s="17">
        <f>IF(AND(ISNUMBER(SEARCH(","&amp;G$1&amp;",",","&amp;SUBSTITUTE(Catalogo!$F145," ","")&amp;",")),Catalogo!$H145&lt;&gt;"N"),"●","")</f>
        <v/>
      </c>
      <c r="H145" s="17">
        <f>IF(AND(ISNUMBER(SEARCH(","&amp;H$1&amp;",",","&amp;SUBSTITUTE(Catalogo!$F145," ","")&amp;",")),Catalogo!$H145&lt;&gt;"N"),"●","")</f>
        <v/>
      </c>
      <c r="I145" s="17">
        <f>IF(AND(ISNUMBER(SEARCH(","&amp;I$1&amp;",",","&amp;SUBSTITUTE(Catalogo!$F145," ","")&amp;",")),Catalogo!$H145&lt;&gt;"N"),"●","")</f>
        <v/>
      </c>
      <c r="J145" s="17">
        <f>IF(AND(ISNUMBER(SEARCH(","&amp;J$1&amp;",",","&amp;SUBSTITUTE(Catalogo!$F145," ","")&amp;",")),Catalogo!$H145&lt;&gt;"N"),"●","")</f>
        <v/>
      </c>
      <c r="K145" s="17">
        <f>IF(AND(ISNUMBER(SEARCH(","&amp;K$1&amp;",",","&amp;SUBSTITUTE(Catalogo!$F145," ","")&amp;",")),Catalogo!$H145&lt;&gt;"N"),"●","")</f>
        <v/>
      </c>
      <c r="L145" s="17">
        <f>IF(AND(ISNUMBER(SEARCH(","&amp;L$1&amp;",",","&amp;SUBSTITUTE(Catalogo!$F145," ","")&amp;",")),Catalogo!$H145&lt;&gt;"N"),"●","")</f>
        <v/>
      </c>
      <c r="M145" s="17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7">
        <f>IF(Catalogo!H146="","(vazio)",Catalogo!H146)</f>
        <v/>
      </c>
      <c r="D146" s="17">
        <f>IF(AND(ISNUMBER(SEARCH(","&amp;D$1&amp;",",","&amp;SUBSTITUTE(Catalogo!$F146," ","")&amp;",")),Catalogo!$H146&lt;&gt;"N"),"●","")</f>
        <v/>
      </c>
      <c r="E146" s="17">
        <f>IF(AND(ISNUMBER(SEARCH(","&amp;E$1&amp;",",","&amp;SUBSTITUTE(Catalogo!$F146," ","")&amp;",")),Catalogo!$H146&lt;&gt;"N"),"●","")</f>
        <v/>
      </c>
      <c r="F146" s="17">
        <f>IF(AND(ISNUMBER(SEARCH(","&amp;F$1&amp;",",","&amp;SUBSTITUTE(Catalogo!$F146," ","")&amp;",")),Catalogo!$H146&lt;&gt;"N"),"●","")</f>
        <v/>
      </c>
      <c r="G146" s="17">
        <f>IF(AND(ISNUMBER(SEARCH(","&amp;G$1&amp;",",","&amp;SUBSTITUTE(Catalogo!$F146," ","")&amp;",")),Catalogo!$H146&lt;&gt;"N"),"●","")</f>
        <v/>
      </c>
      <c r="H146" s="17">
        <f>IF(AND(ISNUMBER(SEARCH(","&amp;H$1&amp;",",","&amp;SUBSTITUTE(Catalogo!$F146," ","")&amp;",")),Catalogo!$H146&lt;&gt;"N"),"●","")</f>
        <v/>
      </c>
      <c r="I146" s="17">
        <f>IF(AND(ISNUMBER(SEARCH(","&amp;I$1&amp;",",","&amp;SUBSTITUTE(Catalogo!$F146," ","")&amp;",")),Catalogo!$H146&lt;&gt;"N"),"●","")</f>
        <v/>
      </c>
      <c r="J146" s="17">
        <f>IF(AND(ISNUMBER(SEARCH(","&amp;J$1&amp;",",","&amp;SUBSTITUTE(Catalogo!$F146," ","")&amp;",")),Catalogo!$H146&lt;&gt;"N"),"●","")</f>
        <v/>
      </c>
      <c r="K146" s="17">
        <f>IF(AND(ISNUMBER(SEARCH(","&amp;K$1&amp;",",","&amp;SUBSTITUTE(Catalogo!$F146," ","")&amp;",")),Catalogo!$H146&lt;&gt;"N"),"●","")</f>
        <v/>
      </c>
      <c r="L146" s="17">
        <f>IF(AND(ISNUMBER(SEARCH(","&amp;L$1&amp;",",","&amp;SUBSTITUTE(Catalogo!$F146," ","")&amp;",")),Catalogo!$H146&lt;&gt;"N"),"●","")</f>
        <v/>
      </c>
      <c r="M146" s="17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7">
        <f>IF(Catalogo!H147="","(vazio)",Catalogo!H147)</f>
        <v/>
      </c>
      <c r="D147" s="17">
        <f>IF(AND(ISNUMBER(SEARCH(","&amp;D$1&amp;",",","&amp;SUBSTITUTE(Catalogo!$F147," ","")&amp;",")),Catalogo!$H147&lt;&gt;"N"),"●","")</f>
        <v/>
      </c>
      <c r="E147" s="17">
        <f>IF(AND(ISNUMBER(SEARCH(","&amp;E$1&amp;",",","&amp;SUBSTITUTE(Catalogo!$F147," ","")&amp;",")),Catalogo!$H147&lt;&gt;"N"),"●","")</f>
        <v/>
      </c>
      <c r="F147" s="17">
        <f>IF(AND(ISNUMBER(SEARCH(","&amp;F$1&amp;",",","&amp;SUBSTITUTE(Catalogo!$F147," ","")&amp;",")),Catalogo!$H147&lt;&gt;"N"),"●","")</f>
        <v/>
      </c>
      <c r="G147" s="17">
        <f>IF(AND(ISNUMBER(SEARCH(","&amp;G$1&amp;",",","&amp;SUBSTITUTE(Catalogo!$F147," ","")&amp;",")),Catalogo!$H147&lt;&gt;"N"),"●","")</f>
        <v/>
      </c>
      <c r="H147" s="17">
        <f>IF(AND(ISNUMBER(SEARCH(","&amp;H$1&amp;",",","&amp;SUBSTITUTE(Catalogo!$F147," ","")&amp;",")),Catalogo!$H147&lt;&gt;"N"),"●","")</f>
        <v/>
      </c>
      <c r="I147" s="17">
        <f>IF(AND(ISNUMBER(SEARCH(","&amp;I$1&amp;",",","&amp;SUBSTITUTE(Catalogo!$F147," ","")&amp;",")),Catalogo!$H147&lt;&gt;"N"),"●","")</f>
        <v/>
      </c>
      <c r="J147" s="17">
        <f>IF(AND(ISNUMBER(SEARCH(","&amp;J$1&amp;",",","&amp;SUBSTITUTE(Catalogo!$F147," ","")&amp;",")),Catalogo!$H147&lt;&gt;"N"),"●","")</f>
        <v/>
      </c>
      <c r="K147" s="17">
        <f>IF(AND(ISNUMBER(SEARCH(","&amp;K$1&amp;",",","&amp;SUBSTITUTE(Catalogo!$F147," ","")&amp;",")),Catalogo!$H147&lt;&gt;"N"),"●","")</f>
        <v/>
      </c>
      <c r="L147" s="17">
        <f>IF(AND(ISNUMBER(SEARCH(","&amp;L$1&amp;",",","&amp;SUBSTITUTE(Catalogo!$F147," ","")&amp;",")),Catalogo!$H147&lt;&gt;"N"),"●","")</f>
        <v/>
      </c>
      <c r="M147" s="17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7">
        <f>IF(Catalogo!H148="","(vazio)",Catalogo!H148)</f>
        <v/>
      </c>
      <c r="D148" s="17">
        <f>IF(AND(ISNUMBER(SEARCH(","&amp;D$1&amp;",",","&amp;SUBSTITUTE(Catalogo!$F148," ","")&amp;",")),Catalogo!$H148&lt;&gt;"N"),"●","")</f>
        <v/>
      </c>
      <c r="E148" s="17">
        <f>IF(AND(ISNUMBER(SEARCH(","&amp;E$1&amp;",",","&amp;SUBSTITUTE(Catalogo!$F148," ","")&amp;",")),Catalogo!$H148&lt;&gt;"N"),"●","")</f>
        <v/>
      </c>
      <c r="F148" s="17">
        <f>IF(AND(ISNUMBER(SEARCH(","&amp;F$1&amp;",",","&amp;SUBSTITUTE(Catalogo!$F148," ","")&amp;",")),Catalogo!$H148&lt;&gt;"N"),"●","")</f>
        <v/>
      </c>
      <c r="G148" s="17">
        <f>IF(AND(ISNUMBER(SEARCH(","&amp;G$1&amp;",",","&amp;SUBSTITUTE(Catalogo!$F148," ","")&amp;",")),Catalogo!$H148&lt;&gt;"N"),"●","")</f>
        <v/>
      </c>
      <c r="H148" s="17">
        <f>IF(AND(ISNUMBER(SEARCH(","&amp;H$1&amp;",",","&amp;SUBSTITUTE(Catalogo!$F148," ","")&amp;",")),Catalogo!$H148&lt;&gt;"N"),"●","")</f>
        <v/>
      </c>
      <c r="I148" s="17">
        <f>IF(AND(ISNUMBER(SEARCH(","&amp;I$1&amp;",",","&amp;SUBSTITUTE(Catalogo!$F148," ","")&amp;",")),Catalogo!$H148&lt;&gt;"N"),"●","")</f>
        <v/>
      </c>
      <c r="J148" s="17">
        <f>IF(AND(ISNUMBER(SEARCH(","&amp;J$1&amp;",",","&amp;SUBSTITUTE(Catalogo!$F148," ","")&amp;",")),Catalogo!$H148&lt;&gt;"N"),"●","")</f>
        <v/>
      </c>
      <c r="K148" s="17">
        <f>IF(AND(ISNUMBER(SEARCH(","&amp;K$1&amp;",",","&amp;SUBSTITUTE(Catalogo!$F148," ","")&amp;",")),Catalogo!$H148&lt;&gt;"N"),"●","")</f>
        <v/>
      </c>
      <c r="L148" s="17">
        <f>IF(AND(ISNUMBER(SEARCH(","&amp;L$1&amp;",",","&amp;SUBSTITUTE(Catalogo!$F148," ","")&amp;",")),Catalogo!$H148&lt;&gt;"N"),"●","")</f>
        <v/>
      </c>
      <c r="M148" s="17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7">
        <f>IF(Catalogo!H149="","(vazio)",Catalogo!H149)</f>
        <v/>
      </c>
      <c r="D149" s="17">
        <f>IF(AND(ISNUMBER(SEARCH(","&amp;D$1&amp;",",","&amp;SUBSTITUTE(Catalogo!$F149," ","")&amp;",")),Catalogo!$H149&lt;&gt;"N"),"●","")</f>
        <v/>
      </c>
      <c r="E149" s="17">
        <f>IF(AND(ISNUMBER(SEARCH(","&amp;E$1&amp;",",","&amp;SUBSTITUTE(Catalogo!$F149," ","")&amp;",")),Catalogo!$H149&lt;&gt;"N"),"●","")</f>
        <v/>
      </c>
      <c r="F149" s="17">
        <f>IF(AND(ISNUMBER(SEARCH(","&amp;F$1&amp;",",","&amp;SUBSTITUTE(Catalogo!$F149," ","")&amp;",")),Catalogo!$H149&lt;&gt;"N"),"●","")</f>
        <v/>
      </c>
      <c r="G149" s="17">
        <f>IF(AND(ISNUMBER(SEARCH(","&amp;G$1&amp;",",","&amp;SUBSTITUTE(Catalogo!$F149," ","")&amp;",")),Catalogo!$H149&lt;&gt;"N"),"●","")</f>
        <v/>
      </c>
      <c r="H149" s="17">
        <f>IF(AND(ISNUMBER(SEARCH(","&amp;H$1&amp;",",","&amp;SUBSTITUTE(Catalogo!$F149," ","")&amp;",")),Catalogo!$H149&lt;&gt;"N"),"●","")</f>
        <v/>
      </c>
      <c r="I149" s="17">
        <f>IF(AND(ISNUMBER(SEARCH(","&amp;I$1&amp;",",","&amp;SUBSTITUTE(Catalogo!$F149," ","")&amp;",")),Catalogo!$H149&lt;&gt;"N"),"●","")</f>
        <v/>
      </c>
      <c r="J149" s="17">
        <f>IF(AND(ISNUMBER(SEARCH(","&amp;J$1&amp;",",","&amp;SUBSTITUTE(Catalogo!$F149," ","")&amp;",")),Catalogo!$H149&lt;&gt;"N"),"●","")</f>
        <v/>
      </c>
      <c r="K149" s="17">
        <f>IF(AND(ISNUMBER(SEARCH(","&amp;K$1&amp;",",","&amp;SUBSTITUTE(Catalogo!$F149," ","")&amp;",")),Catalogo!$H149&lt;&gt;"N"),"●","")</f>
        <v/>
      </c>
      <c r="L149" s="17">
        <f>IF(AND(ISNUMBER(SEARCH(","&amp;L$1&amp;",",","&amp;SUBSTITUTE(Catalogo!$F149," ","")&amp;",")),Catalogo!$H149&lt;&gt;"N"),"●","")</f>
        <v/>
      </c>
      <c r="M149" s="17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7">
        <f>IF(Catalogo!H150="","(vazio)",Catalogo!H150)</f>
        <v/>
      </c>
      <c r="D150" s="17">
        <f>IF(AND(ISNUMBER(SEARCH(","&amp;D$1&amp;",",","&amp;SUBSTITUTE(Catalogo!$F150," ","")&amp;",")),Catalogo!$H150&lt;&gt;"N"),"●","")</f>
        <v/>
      </c>
      <c r="E150" s="17">
        <f>IF(AND(ISNUMBER(SEARCH(","&amp;E$1&amp;",",","&amp;SUBSTITUTE(Catalogo!$F150," ","")&amp;",")),Catalogo!$H150&lt;&gt;"N"),"●","")</f>
        <v/>
      </c>
      <c r="F150" s="17">
        <f>IF(AND(ISNUMBER(SEARCH(","&amp;F$1&amp;",",","&amp;SUBSTITUTE(Catalogo!$F150," ","")&amp;",")),Catalogo!$H150&lt;&gt;"N"),"●","")</f>
        <v/>
      </c>
      <c r="G150" s="17">
        <f>IF(AND(ISNUMBER(SEARCH(","&amp;G$1&amp;",",","&amp;SUBSTITUTE(Catalogo!$F150," ","")&amp;",")),Catalogo!$H150&lt;&gt;"N"),"●","")</f>
        <v/>
      </c>
      <c r="H150" s="17">
        <f>IF(AND(ISNUMBER(SEARCH(","&amp;H$1&amp;",",","&amp;SUBSTITUTE(Catalogo!$F150," ","")&amp;",")),Catalogo!$H150&lt;&gt;"N"),"●","")</f>
        <v/>
      </c>
      <c r="I150" s="17">
        <f>IF(AND(ISNUMBER(SEARCH(","&amp;I$1&amp;",",","&amp;SUBSTITUTE(Catalogo!$F150," ","")&amp;",")),Catalogo!$H150&lt;&gt;"N"),"●","")</f>
        <v/>
      </c>
      <c r="J150" s="17">
        <f>IF(AND(ISNUMBER(SEARCH(","&amp;J$1&amp;",",","&amp;SUBSTITUTE(Catalogo!$F150," ","")&amp;",")),Catalogo!$H150&lt;&gt;"N"),"●","")</f>
        <v/>
      </c>
      <c r="K150" s="17">
        <f>IF(AND(ISNUMBER(SEARCH(","&amp;K$1&amp;",",","&amp;SUBSTITUTE(Catalogo!$F150," ","")&amp;",")),Catalogo!$H150&lt;&gt;"N"),"●","")</f>
        <v/>
      </c>
      <c r="L150" s="17">
        <f>IF(AND(ISNUMBER(SEARCH(","&amp;L$1&amp;",",","&amp;SUBSTITUTE(Catalogo!$F150," ","")&amp;",")),Catalogo!$H150&lt;&gt;"N"),"●","")</f>
        <v/>
      </c>
      <c r="M150" s="17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7">
        <f>IF(Catalogo!H151="","(vazio)",Catalogo!H151)</f>
        <v/>
      </c>
      <c r="D151" s="17">
        <f>IF(AND(ISNUMBER(SEARCH(","&amp;D$1&amp;",",","&amp;SUBSTITUTE(Catalogo!$F151," ","")&amp;",")),Catalogo!$H151&lt;&gt;"N"),"●","")</f>
        <v/>
      </c>
      <c r="E151" s="17">
        <f>IF(AND(ISNUMBER(SEARCH(","&amp;E$1&amp;",",","&amp;SUBSTITUTE(Catalogo!$F151," ","")&amp;",")),Catalogo!$H151&lt;&gt;"N"),"●","")</f>
        <v/>
      </c>
      <c r="F151" s="17">
        <f>IF(AND(ISNUMBER(SEARCH(","&amp;F$1&amp;",",","&amp;SUBSTITUTE(Catalogo!$F151," ","")&amp;",")),Catalogo!$H151&lt;&gt;"N"),"●","")</f>
        <v/>
      </c>
      <c r="G151" s="17">
        <f>IF(AND(ISNUMBER(SEARCH(","&amp;G$1&amp;",",","&amp;SUBSTITUTE(Catalogo!$F151," ","")&amp;",")),Catalogo!$H151&lt;&gt;"N"),"●","")</f>
        <v/>
      </c>
      <c r="H151" s="17">
        <f>IF(AND(ISNUMBER(SEARCH(","&amp;H$1&amp;",",","&amp;SUBSTITUTE(Catalogo!$F151," ","")&amp;",")),Catalogo!$H151&lt;&gt;"N"),"●","")</f>
        <v/>
      </c>
      <c r="I151" s="17">
        <f>IF(AND(ISNUMBER(SEARCH(","&amp;I$1&amp;",",","&amp;SUBSTITUTE(Catalogo!$F151," ","")&amp;",")),Catalogo!$H151&lt;&gt;"N"),"●","")</f>
        <v/>
      </c>
      <c r="J151" s="17">
        <f>IF(AND(ISNUMBER(SEARCH(","&amp;J$1&amp;",",","&amp;SUBSTITUTE(Catalogo!$F151," ","")&amp;",")),Catalogo!$H151&lt;&gt;"N"),"●","")</f>
        <v/>
      </c>
      <c r="K151" s="17">
        <f>IF(AND(ISNUMBER(SEARCH(","&amp;K$1&amp;",",","&amp;SUBSTITUTE(Catalogo!$F151," ","")&amp;",")),Catalogo!$H151&lt;&gt;"N"),"●","")</f>
        <v/>
      </c>
      <c r="L151" s="17">
        <f>IF(AND(ISNUMBER(SEARCH(","&amp;L$1&amp;",",","&amp;SUBSTITUTE(Catalogo!$F151," ","")&amp;",")),Catalogo!$H151&lt;&gt;"N"),"●","")</f>
        <v/>
      </c>
      <c r="M151" s="17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7">
        <f>IF(Catalogo!H152="","(vazio)",Catalogo!H152)</f>
        <v/>
      </c>
      <c r="D152" s="17">
        <f>IF(AND(ISNUMBER(SEARCH(","&amp;D$1&amp;",",","&amp;SUBSTITUTE(Catalogo!$F152," ","")&amp;",")),Catalogo!$H152&lt;&gt;"N"),"●","")</f>
        <v/>
      </c>
      <c r="E152" s="17">
        <f>IF(AND(ISNUMBER(SEARCH(","&amp;E$1&amp;",",","&amp;SUBSTITUTE(Catalogo!$F152," ","")&amp;",")),Catalogo!$H152&lt;&gt;"N"),"●","")</f>
        <v/>
      </c>
      <c r="F152" s="17">
        <f>IF(AND(ISNUMBER(SEARCH(","&amp;F$1&amp;",",","&amp;SUBSTITUTE(Catalogo!$F152," ","")&amp;",")),Catalogo!$H152&lt;&gt;"N"),"●","")</f>
        <v/>
      </c>
      <c r="G152" s="17">
        <f>IF(AND(ISNUMBER(SEARCH(","&amp;G$1&amp;",",","&amp;SUBSTITUTE(Catalogo!$F152," ","")&amp;",")),Catalogo!$H152&lt;&gt;"N"),"●","")</f>
        <v/>
      </c>
      <c r="H152" s="17">
        <f>IF(AND(ISNUMBER(SEARCH(","&amp;H$1&amp;",",","&amp;SUBSTITUTE(Catalogo!$F152," ","")&amp;",")),Catalogo!$H152&lt;&gt;"N"),"●","")</f>
        <v/>
      </c>
      <c r="I152" s="17">
        <f>IF(AND(ISNUMBER(SEARCH(","&amp;I$1&amp;",",","&amp;SUBSTITUTE(Catalogo!$F152," ","")&amp;",")),Catalogo!$H152&lt;&gt;"N"),"●","")</f>
        <v/>
      </c>
      <c r="J152" s="17">
        <f>IF(AND(ISNUMBER(SEARCH(","&amp;J$1&amp;",",","&amp;SUBSTITUTE(Catalogo!$F152," ","")&amp;",")),Catalogo!$H152&lt;&gt;"N"),"●","")</f>
        <v/>
      </c>
      <c r="K152" s="17">
        <f>IF(AND(ISNUMBER(SEARCH(","&amp;K$1&amp;",",","&amp;SUBSTITUTE(Catalogo!$F152," ","")&amp;",")),Catalogo!$H152&lt;&gt;"N"),"●","")</f>
        <v/>
      </c>
      <c r="L152" s="17">
        <f>IF(AND(ISNUMBER(SEARCH(","&amp;L$1&amp;",",","&amp;SUBSTITUTE(Catalogo!$F152," ","")&amp;",")),Catalogo!$H152&lt;&gt;"N"),"●","")</f>
        <v/>
      </c>
      <c r="M152" s="17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7">
        <f>IF(Catalogo!H153="","(vazio)",Catalogo!H153)</f>
        <v/>
      </c>
      <c r="D153" s="17">
        <f>IF(AND(ISNUMBER(SEARCH(","&amp;D$1&amp;",",","&amp;SUBSTITUTE(Catalogo!$F153," ","")&amp;",")),Catalogo!$H153&lt;&gt;"N"),"●","")</f>
        <v/>
      </c>
      <c r="E153" s="17">
        <f>IF(AND(ISNUMBER(SEARCH(","&amp;E$1&amp;",",","&amp;SUBSTITUTE(Catalogo!$F153," ","")&amp;",")),Catalogo!$H153&lt;&gt;"N"),"●","")</f>
        <v/>
      </c>
      <c r="F153" s="17">
        <f>IF(AND(ISNUMBER(SEARCH(","&amp;F$1&amp;",",","&amp;SUBSTITUTE(Catalogo!$F153," ","")&amp;",")),Catalogo!$H153&lt;&gt;"N"),"●","")</f>
        <v/>
      </c>
      <c r="G153" s="17">
        <f>IF(AND(ISNUMBER(SEARCH(","&amp;G$1&amp;",",","&amp;SUBSTITUTE(Catalogo!$F153," ","")&amp;",")),Catalogo!$H153&lt;&gt;"N"),"●","")</f>
        <v/>
      </c>
      <c r="H153" s="17">
        <f>IF(AND(ISNUMBER(SEARCH(","&amp;H$1&amp;",",","&amp;SUBSTITUTE(Catalogo!$F153," ","")&amp;",")),Catalogo!$H153&lt;&gt;"N"),"●","")</f>
        <v/>
      </c>
      <c r="I153" s="17">
        <f>IF(AND(ISNUMBER(SEARCH(","&amp;I$1&amp;",",","&amp;SUBSTITUTE(Catalogo!$F153," ","")&amp;",")),Catalogo!$H153&lt;&gt;"N"),"●","")</f>
        <v/>
      </c>
      <c r="J153" s="17">
        <f>IF(AND(ISNUMBER(SEARCH(","&amp;J$1&amp;",",","&amp;SUBSTITUTE(Catalogo!$F153," ","")&amp;",")),Catalogo!$H153&lt;&gt;"N"),"●","")</f>
        <v/>
      </c>
      <c r="K153" s="17">
        <f>IF(AND(ISNUMBER(SEARCH(","&amp;K$1&amp;",",","&amp;SUBSTITUTE(Catalogo!$F153," ","")&amp;",")),Catalogo!$H153&lt;&gt;"N"),"●","")</f>
        <v/>
      </c>
      <c r="L153" s="17">
        <f>IF(AND(ISNUMBER(SEARCH(","&amp;L$1&amp;",",","&amp;SUBSTITUTE(Catalogo!$F153," ","")&amp;",")),Catalogo!$H153&lt;&gt;"N"),"●","")</f>
        <v/>
      </c>
      <c r="M153" s="17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7">
        <f>IF(Catalogo!H154="","(vazio)",Catalogo!H154)</f>
        <v/>
      </c>
      <c r="D154" s="17">
        <f>IF(AND(ISNUMBER(SEARCH(","&amp;D$1&amp;",",","&amp;SUBSTITUTE(Catalogo!$F154," ","")&amp;",")),Catalogo!$H154&lt;&gt;"N"),"●","")</f>
        <v/>
      </c>
      <c r="E154" s="17">
        <f>IF(AND(ISNUMBER(SEARCH(","&amp;E$1&amp;",",","&amp;SUBSTITUTE(Catalogo!$F154," ","")&amp;",")),Catalogo!$H154&lt;&gt;"N"),"●","")</f>
        <v/>
      </c>
      <c r="F154" s="17">
        <f>IF(AND(ISNUMBER(SEARCH(","&amp;F$1&amp;",",","&amp;SUBSTITUTE(Catalogo!$F154," ","")&amp;",")),Catalogo!$H154&lt;&gt;"N"),"●","")</f>
        <v/>
      </c>
      <c r="G154" s="17">
        <f>IF(AND(ISNUMBER(SEARCH(","&amp;G$1&amp;",",","&amp;SUBSTITUTE(Catalogo!$F154," ","")&amp;",")),Catalogo!$H154&lt;&gt;"N"),"●","")</f>
        <v/>
      </c>
      <c r="H154" s="17">
        <f>IF(AND(ISNUMBER(SEARCH(","&amp;H$1&amp;",",","&amp;SUBSTITUTE(Catalogo!$F154," ","")&amp;",")),Catalogo!$H154&lt;&gt;"N"),"●","")</f>
        <v/>
      </c>
      <c r="I154" s="17">
        <f>IF(AND(ISNUMBER(SEARCH(","&amp;I$1&amp;",",","&amp;SUBSTITUTE(Catalogo!$F154," ","")&amp;",")),Catalogo!$H154&lt;&gt;"N"),"●","")</f>
        <v/>
      </c>
      <c r="J154" s="17">
        <f>IF(AND(ISNUMBER(SEARCH(","&amp;J$1&amp;",",","&amp;SUBSTITUTE(Catalogo!$F154," ","")&amp;",")),Catalogo!$H154&lt;&gt;"N"),"●","")</f>
        <v/>
      </c>
      <c r="K154" s="17">
        <f>IF(AND(ISNUMBER(SEARCH(","&amp;K$1&amp;",",","&amp;SUBSTITUTE(Catalogo!$F154," ","")&amp;",")),Catalogo!$H154&lt;&gt;"N"),"●","")</f>
        <v/>
      </c>
      <c r="L154" s="17">
        <f>IF(AND(ISNUMBER(SEARCH(","&amp;L$1&amp;",",","&amp;SUBSTITUTE(Catalogo!$F154," ","")&amp;",")),Catalogo!$H154&lt;&gt;"N"),"●","")</f>
        <v/>
      </c>
      <c r="M154" s="17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7">
        <f>IF(Catalogo!H155="","(vazio)",Catalogo!H155)</f>
        <v/>
      </c>
      <c r="D155" s="17">
        <f>IF(AND(ISNUMBER(SEARCH(","&amp;D$1&amp;",",","&amp;SUBSTITUTE(Catalogo!$F155," ","")&amp;",")),Catalogo!$H155&lt;&gt;"N"),"●","")</f>
        <v/>
      </c>
      <c r="E155" s="17">
        <f>IF(AND(ISNUMBER(SEARCH(","&amp;E$1&amp;",",","&amp;SUBSTITUTE(Catalogo!$F155," ","")&amp;",")),Catalogo!$H155&lt;&gt;"N"),"●","")</f>
        <v/>
      </c>
      <c r="F155" s="17">
        <f>IF(AND(ISNUMBER(SEARCH(","&amp;F$1&amp;",",","&amp;SUBSTITUTE(Catalogo!$F155," ","")&amp;",")),Catalogo!$H155&lt;&gt;"N"),"●","")</f>
        <v/>
      </c>
      <c r="G155" s="17">
        <f>IF(AND(ISNUMBER(SEARCH(","&amp;G$1&amp;",",","&amp;SUBSTITUTE(Catalogo!$F155," ","")&amp;",")),Catalogo!$H155&lt;&gt;"N"),"●","")</f>
        <v/>
      </c>
      <c r="H155" s="17">
        <f>IF(AND(ISNUMBER(SEARCH(","&amp;H$1&amp;",",","&amp;SUBSTITUTE(Catalogo!$F155," ","")&amp;",")),Catalogo!$H155&lt;&gt;"N"),"●","")</f>
        <v/>
      </c>
      <c r="I155" s="17">
        <f>IF(AND(ISNUMBER(SEARCH(","&amp;I$1&amp;",",","&amp;SUBSTITUTE(Catalogo!$F155," ","")&amp;",")),Catalogo!$H155&lt;&gt;"N"),"●","")</f>
        <v/>
      </c>
      <c r="J155" s="17">
        <f>IF(AND(ISNUMBER(SEARCH(","&amp;J$1&amp;",",","&amp;SUBSTITUTE(Catalogo!$F155," ","")&amp;",")),Catalogo!$H155&lt;&gt;"N"),"●","")</f>
        <v/>
      </c>
      <c r="K155" s="17">
        <f>IF(AND(ISNUMBER(SEARCH(","&amp;K$1&amp;",",","&amp;SUBSTITUTE(Catalogo!$F155," ","")&amp;",")),Catalogo!$H155&lt;&gt;"N"),"●","")</f>
        <v/>
      </c>
      <c r="L155" s="17">
        <f>IF(AND(ISNUMBER(SEARCH(","&amp;L$1&amp;",",","&amp;SUBSTITUTE(Catalogo!$F155," ","")&amp;",")),Catalogo!$H155&lt;&gt;"N"),"●","")</f>
        <v/>
      </c>
      <c r="M155" s="17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7">
        <f>IF(Catalogo!H156="","(vazio)",Catalogo!H156)</f>
        <v/>
      </c>
      <c r="D156" s="17">
        <f>IF(AND(ISNUMBER(SEARCH(","&amp;D$1&amp;",",","&amp;SUBSTITUTE(Catalogo!$F156," ","")&amp;",")),Catalogo!$H156&lt;&gt;"N"),"●","")</f>
        <v/>
      </c>
      <c r="E156" s="17">
        <f>IF(AND(ISNUMBER(SEARCH(","&amp;E$1&amp;",",","&amp;SUBSTITUTE(Catalogo!$F156," ","")&amp;",")),Catalogo!$H156&lt;&gt;"N"),"●","")</f>
        <v/>
      </c>
      <c r="F156" s="17">
        <f>IF(AND(ISNUMBER(SEARCH(","&amp;F$1&amp;",",","&amp;SUBSTITUTE(Catalogo!$F156," ","")&amp;",")),Catalogo!$H156&lt;&gt;"N"),"●","")</f>
        <v/>
      </c>
      <c r="G156" s="17">
        <f>IF(AND(ISNUMBER(SEARCH(","&amp;G$1&amp;",",","&amp;SUBSTITUTE(Catalogo!$F156," ","")&amp;",")),Catalogo!$H156&lt;&gt;"N"),"●","")</f>
        <v/>
      </c>
      <c r="H156" s="17">
        <f>IF(AND(ISNUMBER(SEARCH(","&amp;H$1&amp;",",","&amp;SUBSTITUTE(Catalogo!$F156," ","")&amp;",")),Catalogo!$H156&lt;&gt;"N"),"●","")</f>
        <v/>
      </c>
      <c r="I156" s="17">
        <f>IF(AND(ISNUMBER(SEARCH(","&amp;I$1&amp;",",","&amp;SUBSTITUTE(Catalogo!$F156," ","")&amp;",")),Catalogo!$H156&lt;&gt;"N"),"●","")</f>
        <v/>
      </c>
      <c r="J156" s="17">
        <f>IF(AND(ISNUMBER(SEARCH(","&amp;J$1&amp;",",","&amp;SUBSTITUTE(Catalogo!$F156," ","")&amp;",")),Catalogo!$H156&lt;&gt;"N"),"●","")</f>
        <v/>
      </c>
      <c r="K156" s="17">
        <f>IF(AND(ISNUMBER(SEARCH(","&amp;K$1&amp;",",","&amp;SUBSTITUTE(Catalogo!$F156," ","")&amp;",")),Catalogo!$H156&lt;&gt;"N"),"●","")</f>
        <v/>
      </c>
      <c r="L156" s="17">
        <f>IF(AND(ISNUMBER(SEARCH(","&amp;L$1&amp;",",","&amp;SUBSTITUTE(Catalogo!$F156," ","")&amp;",")),Catalogo!$H156&lt;&gt;"N"),"●","")</f>
        <v/>
      </c>
      <c r="M156" s="17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7">
        <f>IF(Catalogo!H157="","(vazio)",Catalogo!H157)</f>
        <v/>
      </c>
      <c r="D157" s="17">
        <f>IF(AND(ISNUMBER(SEARCH(","&amp;D$1&amp;",",","&amp;SUBSTITUTE(Catalogo!$F157," ","")&amp;",")),Catalogo!$H157&lt;&gt;"N"),"●","")</f>
        <v/>
      </c>
      <c r="E157" s="17">
        <f>IF(AND(ISNUMBER(SEARCH(","&amp;E$1&amp;",",","&amp;SUBSTITUTE(Catalogo!$F157," ","")&amp;",")),Catalogo!$H157&lt;&gt;"N"),"●","")</f>
        <v/>
      </c>
      <c r="F157" s="17">
        <f>IF(AND(ISNUMBER(SEARCH(","&amp;F$1&amp;",",","&amp;SUBSTITUTE(Catalogo!$F157," ","")&amp;",")),Catalogo!$H157&lt;&gt;"N"),"●","")</f>
        <v/>
      </c>
      <c r="G157" s="17">
        <f>IF(AND(ISNUMBER(SEARCH(","&amp;G$1&amp;",",","&amp;SUBSTITUTE(Catalogo!$F157," ","")&amp;",")),Catalogo!$H157&lt;&gt;"N"),"●","")</f>
        <v/>
      </c>
      <c r="H157" s="17">
        <f>IF(AND(ISNUMBER(SEARCH(","&amp;H$1&amp;",",","&amp;SUBSTITUTE(Catalogo!$F157," ","")&amp;",")),Catalogo!$H157&lt;&gt;"N"),"●","")</f>
        <v/>
      </c>
      <c r="I157" s="17">
        <f>IF(AND(ISNUMBER(SEARCH(","&amp;I$1&amp;",",","&amp;SUBSTITUTE(Catalogo!$F157," ","")&amp;",")),Catalogo!$H157&lt;&gt;"N"),"●","")</f>
        <v/>
      </c>
      <c r="J157" s="17">
        <f>IF(AND(ISNUMBER(SEARCH(","&amp;J$1&amp;",",","&amp;SUBSTITUTE(Catalogo!$F157," ","")&amp;",")),Catalogo!$H157&lt;&gt;"N"),"●","")</f>
        <v/>
      </c>
      <c r="K157" s="17">
        <f>IF(AND(ISNUMBER(SEARCH(","&amp;K$1&amp;",",","&amp;SUBSTITUTE(Catalogo!$F157," ","")&amp;",")),Catalogo!$H157&lt;&gt;"N"),"●","")</f>
        <v/>
      </c>
      <c r="L157" s="17">
        <f>IF(AND(ISNUMBER(SEARCH(","&amp;L$1&amp;",",","&amp;SUBSTITUTE(Catalogo!$F157," ","")&amp;",")),Catalogo!$H157&lt;&gt;"N"),"●","")</f>
        <v/>
      </c>
      <c r="M157" s="17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7">
        <f>IF(Catalogo!H158="","(vazio)",Catalogo!H158)</f>
        <v/>
      </c>
      <c r="D158" s="17">
        <f>IF(AND(ISNUMBER(SEARCH(","&amp;D$1&amp;",",","&amp;SUBSTITUTE(Catalogo!$F158," ","")&amp;",")),Catalogo!$H158&lt;&gt;"N"),"●","")</f>
        <v/>
      </c>
      <c r="E158" s="17">
        <f>IF(AND(ISNUMBER(SEARCH(","&amp;E$1&amp;",",","&amp;SUBSTITUTE(Catalogo!$F158," ","")&amp;",")),Catalogo!$H158&lt;&gt;"N"),"●","")</f>
        <v/>
      </c>
      <c r="F158" s="17">
        <f>IF(AND(ISNUMBER(SEARCH(","&amp;F$1&amp;",",","&amp;SUBSTITUTE(Catalogo!$F158," ","")&amp;",")),Catalogo!$H158&lt;&gt;"N"),"●","")</f>
        <v/>
      </c>
      <c r="G158" s="17">
        <f>IF(AND(ISNUMBER(SEARCH(","&amp;G$1&amp;",",","&amp;SUBSTITUTE(Catalogo!$F158," ","")&amp;",")),Catalogo!$H158&lt;&gt;"N"),"●","")</f>
        <v/>
      </c>
      <c r="H158" s="17">
        <f>IF(AND(ISNUMBER(SEARCH(","&amp;H$1&amp;",",","&amp;SUBSTITUTE(Catalogo!$F158," ","")&amp;",")),Catalogo!$H158&lt;&gt;"N"),"●","")</f>
        <v/>
      </c>
      <c r="I158" s="17">
        <f>IF(AND(ISNUMBER(SEARCH(","&amp;I$1&amp;",",","&amp;SUBSTITUTE(Catalogo!$F158," ","")&amp;",")),Catalogo!$H158&lt;&gt;"N"),"●","")</f>
        <v/>
      </c>
      <c r="J158" s="17">
        <f>IF(AND(ISNUMBER(SEARCH(","&amp;J$1&amp;",",","&amp;SUBSTITUTE(Catalogo!$F158," ","")&amp;",")),Catalogo!$H158&lt;&gt;"N"),"●","")</f>
        <v/>
      </c>
      <c r="K158" s="17">
        <f>IF(AND(ISNUMBER(SEARCH(","&amp;K$1&amp;",",","&amp;SUBSTITUTE(Catalogo!$F158," ","")&amp;",")),Catalogo!$H158&lt;&gt;"N"),"●","")</f>
        <v/>
      </c>
      <c r="L158" s="17">
        <f>IF(AND(ISNUMBER(SEARCH(","&amp;L$1&amp;",",","&amp;SUBSTITUTE(Catalogo!$F158," ","")&amp;",")),Catalogo!$H158&lt;&gt;"N"),"●","")</f>
        <v/>
      </c>
      <c r="M158" s="17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7">
        <f>IF(Catalogo!H159="","(vazio)",Catalogo!H159)</f>
        <v/>
      </c>
      <c r="D159" s="17">
        <f>IF(AND(ISNUMBER(SEARCH(","&amp;D$1&amp;",",","&amp;SUBSTITUTE(Catalogo!$F159," ","")&amp;",")),Catalogo!$H159&lt;&gt;"N"),"●","")</f>
        <v/>
      </c>
      <c r="E159" s="17">
        <f>IF(AND(ISNUMBER(SEARCH(","&amp;E$1&amp;",",","&amp;SUBSTITUTE(Catalogo!$F159," ","")&amp;",")),Catalogo!$H159&lt;&gt;"N"),"●","")</f>
        <v/>
      </c>
      <c r="F159" s="17">
        <f>IF(AND(ISNUMBER(SEARCH(","&amp;F$1&amp;",",","&amp;SUBSTITUTE(Catalogo!$F159," ","")&amp;",")),Catalogo!$H159&lt;&gt;"N"),"●","")</f>
        <v/>
      </c>
      <c r="G159" s="17">
        <f>IF(AND(ISNUMBER(SEARCH(","&amp;G$1&amp;",",","&amp;SUBSTITUTE(Catalogo!$F159," ","")&amp;",")),Catalogo!$H159&lt;&gt;"N"),"●","")</f>
        <v/>
      </c>
      <c r="H159" s="17">
        <f>IF(AND(ISNUMBER(SEARCH(","&amp;H$1&amp;",",","&amp;SUBSTITUTE(Catalogo!$F159," ","")&amp;",")),Catalogo!$H159&lt;&gt;"N"),"●","")</f>
        <v/>
      </c>
      <c r="I159" s="17">
        <f>IF(AND(ISNUMBER(SEARCH(","&amp;I$1&amp;",",","&amp;SUBSTITUTE(Catalogo!$F159," ","")&amp;",")),Catalogo!$H159&lt;&gt;"N"),"●","")</f>
        <v/>
      </c>
      <c r="J159" s="17">
        <f>IF(AND(ISNUMBER(SEARCH(","&amp;J$1&amp;",",","&amp;SUBSTITUTE(Catalogo!$F159," ","")&amp;",")),Catalogo!$H159&lt;&gt;"N"),"●","")</f>
        <v/>
      </c>
      <c r="K159" s="17">
        <f>IF(AND(ISNUMBER(SEARCH(","&amp;K$1&amp;",",","&amp;SUBSTITUTE(Catalogo!$F159," ","")&amp;",")),Catalogo!$H159&lt;&gt;"N"),"●","")</f>
        <v/>
      </c>
      <c r="L159" s="17">
        <f>IF(AND(ISNUMBER(SEARCH(","&amp;L$1&amp;",",","&amp;SUBSTITUTE(Catalogo!$F159," ","")&amp;",")),Catalogo!$H159&lt;&gt;"N"),"●","")</f>
        <v/>
      </c>
      <c r="M159" s="17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7">
        <f>IF(Catalogo!H160="","(vazio)",Catalogo!H160)</f>
        <v/>
      </c>
      <c r="D160" s="17">
        <f>IF(AND(ISNUMBER(SEARCH(","&amp;D$1&amp;",",","&amp;SUBSTITUTE(Catalogo!$F160," ","")&amp;",")),Catalogo!$H160&lt;&gt;"N"),"●","")</f>
        <v/>
      </c>
      <c r="E160" s="17">
        <f>IF(AND(ISNUMBER(SEARCH(","&amp;E$1&amp;",",","&amp;SUBSTITUTE(Catalogo!$F160," ","")&amp;",")),Catalogo!$H160&lt;&gt;"N"),"●","")</f>
        <v/>
      </c>
      <c r="F160" s="17">
        <f>IF(AND(ISNUMBER(SEARCH(","&amp;F$1&amp;",",","&amp;SUBSTITUTE(Catalogo!$F160," ","")&amp;",")),Catalogo!$H160&lt;&gt;"N"),"●","")</f>
        <v/>
      </c>
      <c r="G160" s="17">
        <f>IF(AND(ISNUMBER(SEARCH(","&amp;G$1&amp;",",","&amp;SUBSTITUTE(Catalogo!$F160," ","")&amp;",")),Catalogo!$H160&lt;&gt;"N"),"●","")</f>
        <v/>
      </c>
      <c r="H160" s="17">
        <f>IF(AND(ISNUMBER(SEARCH(","&amp;H$1&amp;",",","&amp;SUBSTITUTE(Catalogo!$F160," ","")&amp;",")),Catalogo!$H160&lt;&gt;"N"),"●","")</f>
        <v/>
      </c>
      <c r="I160" s="17">
        <f>IF(AND(ISNUMBER(SEARCH(","&amp;I$1&amp;",",","&amp;SUBSTITUTE(Catalogo!$F160," ","")&amp;",")),Catalogo!$H160&lt;&gt;"N"),"●","")</f>
        <v/>
      </c>
      <c r="J160" s="17">
        <f>IF(AND(ISNUMBER(SEARCH(","&amp;J$1&amp;",",","&amp;SUBSTITUTE(Catalogo!$F160," ","")&amp;",")),Catalogo!$H160&lt;&gt;"N"),"●","")</f>
        <v/>
      </c>
      <c r="K160" s="17">
        <f>IF(AND(ISNUMBER(SEARCH(","&amp;K$1&amp;",",","&amp;SUBSTITUTE(Catalogo!$F160," ","")&amp;",")),Catalogo!$H160&lt;&gt;"N"),"●","")</f>
        <v/>
      </c>
      <c r="L160" s="17">
        <f>IF(AND(ISNUMBER(SEARCH(","&amp;L$1&amp;",",","&amp;SUBSTITUTE(Catalogo!$F160," ","")&amp;",")),Catalogo!$H160&lt;&gt;"N"),"●","")</f>
        <v/>
      </c>
      <c r="M160" s="17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7">
        <f>IF(Catalogo!H161="","(vazio)",Catalogo!H161)</f>
        <v/>
      </c>
      <c r="D161" s="17">
        <f>IF(AND(ISNUMBER(SEARCH(","&amp;D$1&amp;",",","&amp;SUBSTITUTE(Catalogo!$F161," ","")&amp;",")),Catalogo!$H161&lt;&gt;"N"),"●","")</f>
        <v/>
      </c>
      <c r="E161" s="17">
        <f>IF(AND(ISNUMBER(SEARCH(","&amp;E$1&amp;",",","&amp;SUBSTITUTE(Catalogo!$F161," ","")&amp;",")),Catalogo!$H161&lt;&gt;"N"),"●","")</f>
        <v/>
      </c>
      <c r="F161" s="17">
        <f>IF(AND(ISNUMBER(SEARCH(","&amp;F$1&amp;",",","&amp;SUBSTITUTE(Catalogo!$F161," ","")&amp;",")),Catalogo!$H161&lt;&gt;"N"),"●","")</f>
        <v/>
      </c>
      <c r="G161" s="17">
        <f>IF(AND(ISNUMBER(SEARCH(","&amp;G$1&amp;",",","&amp;SUBSTITUTE(Catalogo!$F161," ","")&amp;",")),Catalogo!$H161&lt;&gt;"N"),"●","")</f>
        <v/>
      </c>
      <c r="H161" s="17">
        <f>IF(AND(ISNUMBER(SEARCH(","&amp;H$1&amp;",",","&amp;SUBSTITUTE(Catalogo!$F161," ","")&amp;",")),Catalogo!$H161&lt;&gt;"N"),"●","")</f>
        <v/>
      </c>
      <c r="I161" s="17">
        <f>IF(AND(ISNUMBER(SEARCH(","&amp;I$1&amp;",",","&amp;SUBSTITUTE(Catalogo!$F161," ","")&amp;",")),Catalogo!$H161&lt;&gt;"N"),"●","")</f>
        <v/>
      </c>
      <c r="J161" s="17">
        <f>IF(AND(ISNUMBER(SEARCH(","&amp;J$1&amp;",",","&amp;SUBSTITUTE(Catalogo!$F161," ","")&amp;",")),Catalogo!$H161&lt;&gt;"N"),"●","")</f>
        <v/>
      </c>
      <c r="K161" s="17">
        <f>IF(AND(ISNUMBER(SEARCH(","&amp;K$1&amp;",",","&amp;SUBSTITUTE(Catalogo!$F161," ","")&amp;",")),Catalogo!$H161&lt;&gt;"N"),"●","")</f>
        <v/>
      </c>
      <c r="L161" s="17">
        <f>IF(AND(ISNUMBER(SEARCH(","&amp;L$1&amp;",",","&amp;SUBSTITUTE(Catalogo!$F161," ","")&amp;",")),Catalogo!$H161&lt;&gt;"N"),"●","")</f>
        <v/>
      </c>
      <c r="M161" s="17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7">
        <f>IF(Catalogo!H162="","(vazio)",Catalogo!H162)</f>
        <v/>
      </c>
      <c r="D162" s="17">
        <f>IF(AND(ISNUMBER(SEARCH(","&amp;D$1&amp;",",","&amp;SUBSTITUTE(Catalogo!$F162," ","")&amp;",")),Catalogo!$H162&lt;&gt;"N"),"●","")</f>
        <v/>
      </c>
      <c r="E162" s="17">
        <f>IF(AND(ISNUMBER(SEARCH(","&amp;E$1&amp;",",","&amp;SUBSTITUTE(Catalogo!$F162," ","")&amp;",")),Catalogo!$H162&lt;&gt;"N"),"●","")</f>
        <v/>
      </c>
      <c r="F162" s="17">
        <f>IF(AND(ISNUMBER(SEARCH(","&amp;F$1&amp;",",","&amp;SUBSTITUTE(Catalogo!$F162," ","")&amp;",")),Catalogo!$H162&lt;&gt;"N"),"●","")</f>
        <v/>
      </c>
      <c r="G162" s="17">
        <f>IF(AND(ISNUMBER(SEARCH(","&amp;G$1&amp;",",","&amp;SUBSTITUTE(Catalogo!$F162," ","")&amp;",")),Catalogo!$H162&lt;&gt;"N"),"●","")</f>
        <v/>
      </c>
      <c r="H162" s="17">
        <f>IF(AND(ISNUMBER(SEARCH(","&amp;H$1&amp;",",","&amp;SUBSTITUTE(Catalogo!$F162," ","")&amp;",")),Catalogo!$H162&lt;&gt;"N"),"●","")</f>
        <v/>
      </c>
      <c r="I162" s="17">
        <f>IF(AND(ISNUMBER(SEARCH(","&amp;I$1&amp;",",","&amp;SUBSTITUTE(Catalogo!$F162," ","")&amp;",")),Catalogo!$H162&lt;&gt;"N"),"●","")</f>
        <v/>
      </c>
      <c r="J162" s="17">
        <f>IF(AND(ISNUMBER(SEARCH(","&amp;J$1&amp;",",","&amp;SUBSTITUTE(Catalogo!$F162," ","")&amp;",")),Catalogo!$H162&lt;&gt;"N"),"●","")</f>
        <v/>
      </c>
      <c r="K162" s="17">
        <f>IF(AND(ISNUMBER(SEARCH(","&amp;K$1&amp;",",","&amp;SUBSTITUTE(Catalogo!$F162," ","")&amp;",")),Catalogo!$H162&lt;&gt;"N"),"●","")</f>
        <v/>
      </c>
      <c r="L162" s="17">
        <f>IF(AND(ISNUMBER(SEARCH(","&amp;L$1&amp;",",","&amp;SUBSTITUTE(Catalogo!$F162," ","")&amp;",")),Catalogo!$H162&lt;&gt;"N"),"●","")</f>
        <v/>
      </c>
      <c r="M162" s="17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7">
        <f>IF(Catalogo!H163="","(vazio)",Catalogo!H163)</f>
        <v/>
      </c>
      <c r="D163" s="17">
        <f>IF(AND(ISNUMBER(SEARCH(","&amp;D$1&amp;",",","&amp;SUBSTITUTE(Catalogo!$F163," ","")&amp;",")),Catalogo!$H163&lt;&gt;"N"),"●","")</f>
        <v/>
      </c>
      <c r="E163" s="17">
        <f>IF(AND(ISNUMBER(SEARCH(","&amp;E$1&amp;",",","&amp;SUBSTITUTE(Catalogo!$F163," ","")&amp;",")),Catalogo!$H163&lt;&gt;"N"),"●","")</f>
        <v/>
      </c>
      <c r="F163" s="17">
        <f>IF(AND(ISNUMBER(SEARCH(","&amp;F$1&amp;",",","&amp;SUBSTITUTE(Catalogo!$F163," ","")&amp;",")),Catalogo!$H163&lt;&gt;"N"),"●","")</f>
        <v/>
      </c>
      <c r="G163" s="17">
        <f>IF(AND(ISNUMBER(SEARCH(","&amp;G$1&amp;",",","&amp;SUBSTITUTE(Catalogo!$F163," ","")&amp;",")),Catalogo!$H163&lt;&gt;"N"),"●","")</f>
        <v/>
      </c>
      <c r="H163" s="17">
        <f>IF(AND(ISNUMBER(SEARCH(","&amp;H$1&amp;",",","&amp;SUBSTITUTE(Catalogo!$F163," ","")&amp;",")),Catalogo!$H163&lt;&gt;"N"),"●","")</f>
        <v/>
      </c>
      <c r="I163" s="17">
        <f>IF(AND(ISNUMBER(SEARCH(","&amp;I$1&amp;",",","&amp;SUBSTITUTE(Catalogo!$F163," ","")&amp;",")),Catalogo!$H163&lt;&gt;"N"),"●","")</f>
        <v/>
      </c>
      <c r="J163" s="17">
        <f>IF(AND(ISNUMBER(SEARCH(","&amp;J$1&amp;",",","&amp;SUBSTITUTE(Catalogo!$F163," ","")&amp;",")),Catalogo!$H163&lt;&gt;"N"),"●","")</f>
        <v/>
      </c>
      <c r="K163" s="17">
        <f>IF(AND(ISNUMBER(SEARCH(","&amp;K$1&amp;",",","&amp;SUBSTITUTE(Catalogo!$F163," ","")&amp;",")),Catalogo!$H163&lt;&gt;"N"),"●","")</f>
        <v/>
      </c>
      <c r="L163" s="17">
        <f>IF(AND(ISNUMBER(SEARCH(","&amp;L$1&amp;",",","&amp;SUBSTITUTE(Catalogo!$F163," ","")&amp;",")),Catalogo!$H163&lt;&gt;"N"),"●","")</f>
        <v/>
      </c>
      <c r="M163" s="17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7">
        <f>IF(Catalogo!H164="","(vazio)",Catalogo!H164)</f>
        <v/>
      </c>
      <c r="D164" s="17">
        <f>IF(AND(ISNUMBER(SEARCH(","&amp;D$1&amp;",",","&amp;SUBSTITUTE(Catalogo!$F164," ","")&amp;",")),Catalogo!$H164&lt;&gt;"N"),"●","")</f>
        <v/>
      </c>
      <c r="E164" s="17">
        <f>IF(AND(ISNUMBER(SEARCH(","&amp;E$1&amp;",",","&amp;SUBSTITUTE(Catalogo!$F164," ","")&amp;",")),Catalogo!$H164&lt;&gt;"N"),"●","")</f>
        <v/>
      </c>
      <c r="F164" s="17">
        <f>IF(AND(ISNUMBER(SEARCH(","&amp;F$1&amp;",",","&amp;SUBSTITUTE(Catalogo!$F164," ","")&amp;",")),Catalogo!$H164&lt;&gt;"N"),"●","")</f>
        <v/>
      </c>
      <c r="G164" s="17">
        <f>IF(AND(ISNUMBER(SEARCH(","&amp;G$1&amp;",",","&amp;SUBSTITUTE(Catalogo!$F164," ","")&amp;",")),Catalogo!$H164&lt;&gt;"N"),"●","")</f>
        <v/>
      </c>
      <c r="H164" s="17">
        <f>IF(AND(ISNUMBER(SEARCH(","&amp;H$1&amp;",",","&amp;SUBSTITUTE(Catalogo!$F164," ","")&amp;",")),Catalogo!$H164&lt;&gt;"N"),"●","")</f>
        <v/>
      </c>
      <c r="I164" s="17">
        <f>IF(AND(ISNUMBER(SEARCH(","&amp;I$1&amp;",",","&amp;SUBSTITUTE(Catalogo!$F164," ","")&amp;",")),Catalogo!$H164&lt;&gt;"N"),"●","")</f>
        <v/>
      </c>
      <c r="J164" s="17">
        <f>IF(AND(ISNUMBER(SEARCH(","&amp;J$1&amp;",",","&amp;SUBSTITUTE(Catalogo!$F164," ","")&amp;",")),Catalogo!$H164&lt;&gt;"N"),"●","")</f>
        <v/>
      </c>
      <c r="K164" s="17">
        <f>IF(AND(ISNUMBER(SEARCH(","&amp;K$1&amp;",",","&amp;SUBSTITUTE(Catalogo!$F164," ","")&amp;",")),Catalogo!$H164&lt;&gt;"N"),"●","")</f>
        <v/>
      </c>
      <c r="L164" s="17">
        <f>IF(AND(ISNUMBER(SEARCH(","&amp;L$1&amp;",",","&amp;SUBSTITUTE(Catalogo!$F164," ","")&amp;",")),Catalogo!$H164&lt;&gt;"N"),"●","")</f>
        <v/>
      </c>
      <c r="M164" s="17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7">
        <f>IF(Catalogo!H165="","(vazio)",Catalogo!H165)</f>
        <v/>
      </c>
      <c r="D165" s="17">
        <f>IF(AND(ISNUMBER(SEARCH(","&amp;D$1&amp;",",","&amp;SUBSTITUTE(Catalogo!$F165," ","")&amp;",")),Catalogo!$H165&lt;&gt;"N"),"●","")</f>
        <v/>
      </c>
      <c r="E165" s="17">
        <f>IF(AND(ISNUMBER(SEARCH(","&amp;E$1&amp;",",","&amp;SUBSTITUTE(Catalogo!$F165," ","")&amp;",")),Catalogo!$H165&lt;&gt;"N"),"●","")</f>
        <v/>
      </c>
      <c r="F165" s="17">
        <f>IF(AND(ISNUMBER(SEARCH(","&amp;F$1&amp;",",","&amp;SUBSTITUTE(Catalogo!$F165," ","")&amp;",")),Catalogo!$H165&lt;&gt;"N"),"●","")</f>
        <v/>
      </c>
      <c r="G165" s="17">
        <f>IF(AND(ISNUMBER(SEARCH(","&amp;G$1&amp;",",","&amp;SUBSTITUTE(Catalogo!$F165," ","")&amp;",")),Catalogo!$H165&lt;&gt;"N"),"●","")</f>
        <v/>
      </c>
      <c r="H165" s="17">
        <f>IF(AND(ISNUMBER(SEARCH(","&amp;H$1&amp;",",","&amp;SUBSTITUTE(Catalogo!$F165," ","")&amp;",")),Catalogo!$H165&lt;&gt;"N"),"●","")</f>
        <v/>
      </c>
      <c r="I165" s="17">
        <f>IF(AND(ISNUMBER(SEARCH(","&amp;I$1&amp;",",","&amp;SUBSTITUTE(Catalogo!$F165," ","")&amp;",")),Catalogo!$H165&lt;&gt;"N"),"●","")</f>
        <v/>
      </c>
      <c r="J165" s="17">
        <f>IF(AND(ISNUMBER(SEARCH(","&amp;J$1&amp;",",","&amp;SUBSTITUTE(Catalogo!$F165," ","")&amp;",")),Catalogo!$H165&lt;&gt;"N"),"●","")</f>
        <v/>
      </c>
      <c r="K165" s="17">
        <f>IF(AND(ISNUMBER(SEARCH(","&amp;K$1&amp;",",","&amp;SUBSTITUTE(Catalogo!$F165," ","")&amp;",")),Catalogo!$H165&lt;&gt;"N"),"●","")</f>
        <v/>
      </c>
      <c r="L165" s="17">
        <f>IF(AND(ISNUMBER(SEARCH(","&amp;L$1&amp;",",","&amp;SUBSTITUTE(Catalogo!$F165," ","")&amp;",")),Catalogo!$H165&lt;&gt;"N"),"●","")</f>
        <v/>
      </c>
      <c r="M165" s="17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7">
        <f>IF(Catalogo!H166="","(vazio)",Catalogo!H166)</f>
        <v/>
      </c>
      <c r="D166" s="17">
        <f>IF(AND(ISNUMBER(SEARCH(","&amp;D$1&amp;",",","&amp;SUBSTITUTE(Catalogo!$F166," ","")&amp;",")),Catalogo!$H166&lt;&gt;"N"),"●","")</f>
        <v/>
      </c>
      <c r="E166" s="17">
        <f>IF(AND(ISNUMBER(SEARCH(","&amp;E$1&amp;",",","&amp;SUBSTITUTE(Catalogo!$F166," ","")&amp;",")),Catalogo!$H166&lt;&gt;"N"),"●","")</f>
        <v/>
      </c>
      <c r="F166" s="17">
        <f>IF(AND(ISNUMBER(SEARCH(","&amp;F$1&amp;",",","&amp;SUBSTITUTE(Catalogo!$F166," ","")&amp;",")),Catalogo!$H166&lt;&gt;"N"),"●","")</f>
        <v/>
      </c>
      <c r="G166" s="17">
        <f>IF(AND(ISNUMBER(SEARCH(","&amp;G$1&amp;",",","&amp;SUBSTITUTE(Catalogo!$F166," ","")&amp;",")),Catalogo!$H166&lt;&gt;"N"),"●","")</f>
        <v/>
      </c>
      <c r="H166" s="17">
        <f>IF(AND(ISNUMBER(SEARCH(","&amp;H$1&amp;",",","&amp;SUBSTITUTE(Catalogo!$F166," ","")&amp;",")),Catalogo!$H166&lt;&gt;"N"),"●","")</f>
        <v/>
      </c>
      <c r="I166" s="17">
        <f>IF(AND(ISNUMBER(SEARCH(","&amp;I$1&amp;",",","&amp;SUBSTITUTE(Catalogo!$F166," ","")&amp;",")),Catalogo!$H166&lt;&gt;"N"),"●","")</f>
        <v/>
      </c>
      <c r="J166" s="17">
        <f>IF(AND(ISNUMBER(SEARCH(","&amp;J$1&amp;",",","&amp;SUBSTITUTE(Catalogo!$F166," ","")&amp;",")),Catalogo!$H166&lt;&gt;"N"),"●","")</f>
        <v/>
      </c>
      <c r="K166" s="17">
        <f>IF(AND(ISNUMBER(SEARCH(","&amp;K$1&amp;",",","&amp;SUBSTITUTE(Catalogo!$F166," ","")&amp;",")),Catalogo!$H166&lt;&gt;"N"),"●","")</f>
        <v/>
      </c>
      <c r="L166" s="17">
        <f>IF(AND(ISNUMBER(SEARCH(","&amp;L$1&amp;",",","&amp;SUBSTITUTE(Catalogo!$F166," ","")&amp;",")),Catalogo!$H166&lt;&gt;"N"),"●","")</f>
        <v/>
      </c>
      <c r="M166" s="17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7">
        <f>IF(Catalogo!H167="","(vazio)",Catalogo!H167)</f>
        <v/>
      </c>
      <c r="D167" s="17">
        <f>IF(AND(ISNUMBER(SEARCH(","&amp;D$1&amp;",",","&amp;SUBSTITUTE(Catalogo!$F167," ","")&amp;",")),Catalogo!$H167&lt;&gt;"N"),"●","")</f>
        <v/>
      </c>
      <c r="E167" s="17">
        <f>IF(AND(ISNUMBER(SEARCH(","&amp;E$1&amp;",",","&amp;SUBSTITUTE(Catalogo!$F167," ","")&amp;",")),Catalogo!$H167&lt;&gt;"N"),"●","")</f>
        <v/>
      </c>
      <c r="F167" s="17">
        <f>IF(AND(ISNUMBER(SEARCH(","&amp;F$1&amp;",",","&amp;SUBSTITUTE(Catalogo!$F167," ","")&amp;",")),Catalogo!$H167&lt;&gt;"N"),"●","")</f>
        <v/>
      </c>
      <c r="G167" s="17">
        <f>IF(AND(ISNUMBER(SEARCH(","&amp;G$1&amp;",",","&amp;SUBSTITUTE(Catalogo!$F167," ","")&amp;",")),Catalogo!$H167&lt;&gt;"N"),"●","")</f>
        <v/>
      </c>
      <c r="H167" s="17">
        <f>IF(AND(ISNUMBER(SEARCH(","&amp;H$1&amp;",",","&amp;SUBSTITUTE(Catalogo!$F167," ","")&amp;",")),Catalogo!$H167&lt;&gt;"N"),"●","")</f>
        <v/>
      </c>
      <c r="I167" s="17">
        <f>IF(AND(ISNUMBER(SEARCH(","&amp;I$1&amp;",",","&amp;SUBSTITUTE(Catalogo!$F167," ","")&amp;",")),Catalogo!$H167&lt;&gt;"N"),"●","")</f>
        <v/>
      </c>
      <c r="J167" s="17">
        <f>IF(AND(ISNUMBER(SEARCH(","&amp;J$1&amp;",",","&amp;SUBSTITUTE(Catalogo!$F167," ","")&amp;",")),Catalogo!$H167&lt;&gt;"N"),"●","")</f>
        <v/>
      </c>
      <c r="K167" s="17">
        <f>IF(AND(ISNUMBER(SEARCH(","&amp;K$1&amp;",",","&amp;SUBSTITUTE(Catalogo!$F167," ","")&amp;",")),Catalogo!$H167&lt;&gt;"N"),"●","")</f>
        <v/>
      </c>
      <c r="L167" s="17">
        <f>IF(AND(ISNUMBER(SEARCH(","&amp;L$1&amp;",",","&amp;SUBSTITUTE(Catalogo!$F167," ","")&amp;",")),Catalogo!$H167&lt;&gt;"N"),"●","")</f>
        <v/>
      </c>
      <c r="M167" s="17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7">
        <f>IF(Catalogo!H168="","(vazio)",Catalogo!H168)</f>
        <v/>
      </c>
      <c r="D168" s="17">
        <f>IF(AND(ISNUMBER(SEARCH(","&amp;D$1&amp;",",","&amp;SUBSTITUTE(Catalogo!$F168," ","")&amp;",")),Catalogo!$H168&lt;&gt;"N"),"●","")</f>
        <v/>
      </c>
      <c r="E168" s="17">
        <f>IF(AND(ISNUMBER(SEARCH(","&amp;E$1&amp;",",","&amp;SUBSTITUTE(Catalogo!$F168," ","")&amp;",")),Catalogo!$H168&lt;&gt;"N"),"●","")</f>
        <v/>
      </c>
      <c r="F168" s="17">
        <f>IF(AND(ISNUMBER(SEARCH(","&amp;F$1&amp;",",","&amp;SUBSTITUTE(Catalogo!$F168," ","")&amp;",")),Catalogo!$H168&lt;&gt;"N"),"●","")</f>
        <v/>
      </c>
      <c r="G168" s="17">
        <f>IF(AND(ISNUMBER(SEARCH(","&amp;G$1&amp;",",","&amp;SUBSTITUTE(Catalogo!$F168," ","")&amp;",")),Catalogo!$H168&lt;&gt;"N"),"●","")</f>
        <v/>
      </c>
      <c r="H168" s="17">
        <f>IF(AND(ISNUMBER(SEARCH(","&amp;H$1&amp;",",","&amp;SUBSTITUTE(Catalogo!$F168," ","")&amp;",")),Catalogo!$H168&lt;&gt;"N"),"●","")</f>
        <v/>
      </c>
      <c r="I168" s="17">
        <f>IF(AND(ISNUMBER(SEARCH(","&amp;I$1&amp;",",","&amp;SUBSTITUTE(Catalogo!$F168," ","")&amp;",")),Catalogo!$H168&lt;&gt;"N"),"●","")</f>
        <v/>
      </c>
      <c r="J168" s="17">
        <f>IF(AND(ISNUMBER(SEARCH(","&amp;J$1&amp;",",","&amp;SUBSTITUTE(Catalogo!$F168," ","")&amp;",")),Catalogo!$H168&lt;&gt;"N"),"●","")</f>
        <v/>
      </c>
      <c r="K168" s="17">
        <f>IF(AND(ISNUMBER(SEARCH(","&amp;K$1&amp;",",","&amp;SUBSTITUTE(Catalogo!$F168," ","")&amp;",")),Catalogo!$H168&lt;&gt;"N"),"●","")</f>
        <v/>
      </c>
      <c r="L168" s="17">
        <f>IF(AND(ISNUMBER(SEARCH(","&amp;L$1&amp;",",","&amp;SUBSTITUTE(Catalogo!$F168," ","")&amp;",")),Catalogo!$H168&lt;&gt;"N"),"●","")</f>
        <v/>
      </c>
      <c r="M168" s="17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7">
        <f>IF(Catalogo!H169="","(vazio)",Catalogo!H169)</f>
        <v/>
      </c>
      <c r="D169" s="17">
        <f>IF(AND(ISNUMBER(SEARCH(","&amp;D$1&amp;",",","&amp;SUBSTITUTE(Catalogo!$F169," ","")&amp;",")),Catalogo!$H169&lt;&gt;"N"),"●","")</f>
        <v/>
      </c>
      <c r="E169" s="17">
        <f>IF(AND(ISNUMBER(SEARCH(","&amp;E$1&amp;",",","&amp;SUBSTITUTE(Catalogo!$F169," ","")&amp;",")),Catalogo!$H169&lt;&gt;"N"),"●","")</f>
        <v/>
      </c>
      <c r="F169" s="17">
        <f>IF(AND(ISNUMBER(SEARCH(","&amp;F$1&amp;",",","&amp;SUBSTITUTE(Catalogo!$F169," ","")&amp;",")),Catalogo!$H169&lt;&gt;"N"),"●","")</f>
        <v/>
      </c>
      <c r="G169" s="17">
        <f>IF(AND(ISNUMBER(SEARCH(","&amp;G$1&amp;",",","&amp;SUBSTITUTE(Catalogo!$F169," ","")&amp;",")),Catalogo!$H169&lt;&gt;"N"),"●","")</f>
        <v/>
      </c>
      <c r="H169" s="17">
        <f>IF(AND(ISNUMBER(SEARCH(","&amp;H$1&amp;",",","&amp;SUBSTITUTE(Catalogo!$F169," ","")&amp;",")),Catalogo!$H169&lt;&gt;"N"),"●","")</f>
        <v/>
      </c>
      <c r="I169" s="17">
        <f>IF(AND(ISNUMBER(SEARCH(","&amp;I$1&amp;",",","&amp;SUBSTITUTE(Catalogo!$F169," ","")&amp;",")),Catalogo!$H169&lt;&gt;"N"),"●","")</f>
        <v/>
      </c>
      <c r="J169" s="17">
        <f>IF(AND(ISNUMBER(SEARCH(","&amp;J$1&amp;",",","&amp;SUBSTITUTE(Catalogo!$F169," ","")&amp;",")),Catalogo!$H169&lt;&gt;"N"),"●","")</f>
        <v/>
      </c>
      <c r="K169" s="17">
        <f>IF(AND(ISNUMBER(SEARCH(","&amp;K$1&amp;",",","&amp;SUBSTITUTE(Catalogo!$F169," ","")&amp;",")),Catalogo!$H169&lt;&gt;"N"),"●","")</f>
        <v/>
      </c>
      <c r="L169" s="17">
        <f>IF(AND(ISNUMBER(SEARCH(","&amp;L$1&amp;",",","&amp;SUBSTITUTE(Catalogo!$F169," ","")&amp;",")),Catalogo!$H169&lt;&gt;"N"),"●","")</f>
        <v/>
      </c>
      <c r="M169" s="17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7">
        <f>IF(Catalogo!H170="","(vazio)",Catalogo!H170)</f>
        <v/>
      </c>
      <c r="D170" s="17">
        <f>IF(AND(ISNUMBER(SEARCH(","&amp;D$1&amp;",",","&amp;SUBSTITUTE(Catalogo!$F170," ","")&amp;",")),Catalogo!$H170&lt;&gt;"N"),"●","")</f>
        <v/>
      </c>
      <c r="E170" s="17">
        <f>IF(AND(ISNUMBER(SEARCH(","&amp;E$1&amp;",",","&amp;SUBSTITUTE(Catalogo!$F170," ","")&amp;",")),Catalogo!$H170&lt;&gt;"N"),"●","")</f>
        <v/>
      </c>
      <c r="F170" s="17">
        <f>IF(AND(ISNUMBER(SEARCH(","&amp;F$1&amp;",",","&amp;SUBSTITUTE(Catalogo!$F170," ","")&amp;",")),Catalogo!$H170&lt;&gt;"N"),"●","")</f>
        <v/>
      </c>
      <c r="G170" s="17">
        <f>IF(AND(ISNUMBER(SEARCH(","&amp;G$1&amp;",",","&amp;SUBSTITUTE(Catalogo!$F170," ","")&amp;",")),Catalogo!$H170&lt;&gt;"N"),"●","")</f>
        <v/>
      </c>
      <c r="H170" s="17">
        <f>IF(AND(ISNUMBER(SEARCH(","&amp;H$1&amp;",",","&amp;SUBSTITUTE(Catalogo!$F170," ","")&amp;",")),Catalogo!$H170&lt;&gt;"N"),"●","")</f>
        <v/>
      </c>
      <c r="I170" s="17">
        <f>IF(AND(ISNUMBER(SEARCH(","&amp;I$1&amp;",",","&amp;SUBSTITUTE(Catalogo!$F170," ","")&amp;",")),Catalogo!$H170&lt;&gt;"N"),"●","")</f>
        <v/>
      </c>
      <c r="J170" s="17">
        <f>IF(AND(ISNUMBER(SEARCH(","&amp;J$1&amp;",",","&amp;SUBSTITUTE(Catalogo!$F170," ","")&amp;",")),Catalogo!$H170&lt;&gt;"N"),"●","")</f>
        <v/>
      </c>
      <c r="K170" s="17">
        <f>IF(AND(ISNUMBER(SEARCH(","&amp;K$1&amp;",",","&amp;SUBSTITUTE(Catalogo!$F170," ","")&amp;",")),Catalogo!$H170&lt;&gt;"N"),"●","")</f>
        <v/>
      </c>
      <c r="L170" s="17">
        <f>IF(AND(ISNUMBER(SEARCH(","&amp;L$1&amp;",",","&amp;SUBSTITUTE(Catalogo!$F170," ","")&amp;",")),Catalogo!$H170&lt;&gt;"N"),"●","")</f>
        <v/>
      </c>
      <c r="M170" s="17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7">
        <f>IF(Catalogo!H171="","(vazio)",Catalogo!H171)</f>
        <v/>
      </c>
      <c r="D171" s="17">
        <f>IF(AND(ISNUMBER(SEARCH(","&amp;D$1&amp;",",","&amp;SUBSTITUTE(Catalogo!$F171," ","")&amp;",")),Catalogo!$H171&lt;&gt;"N"),"●","")</f>
        <v/>
      </c>
      <c r="E171" s="17">
        <f>IF(AND(ISNUMBER(SEARCH(","&amp;E$1&amp;",",","&amp;SUBSTITUTE(Catalogo!$F171," ","")&amp;",")),Catalogo!$H171&lt;&gt;"N"),"●","")</f>
        <v/>
      </c>
      <c r="F171" s="17">
        <f>IF(AND(ISNUMBER(SEARCH(","&amp;F$1&amp;",",","&amp;SUBSTITUTE(Catalogo!$F171," ","")&amp;",")),Catalogo!$H171&lt;&gt;"N"),"●","")</f>
        <v/>
      </c>
      <c r="G171" s="17">
        <f>IF(AND(ISNUMBER(SEARCH(","&amp;G$1&amp;",",","&amp;SUBSTITUTE(Catalogo!$F171," ","")&amp;",")),Catalogo!$H171&lt;&gt;"N"),"●","")</f>
        <v/>
      </c>
      <c r="H171" s="17">
        <f>IF(AND(ISNUMBER(SEARCH(","&amp;H$1&amp;",",","&amp;SUBSTITUTE(Catalogo!$F171," ","")&amp;",")),Catalogo!$H171&lt;&gt;"N"),"●","")</f>
        <v/>
      </c>
      <c r="I171" s="17">
        <f>IF(AND(ISNUMBER(SEARCH(","&amp;I$1&amp;",",","&amp;SUBSTITUTE(Catalogo!$F171," ","")&amp;",")),Catalogo!$H171&lt;&gt;"N"),"●","")</f>
        <v/>
      </c>
      <c r="J171" s="17">
        <f>IF(AND(ISNUMBER(SEARCH(","&amp;J$1&amp;",",","&amp;SUBSTITUTE(Catalogo!$F171," ","")&amp;",")),Catalogo!$H171&lt;&gt;"N"),"●","")</f>
        <v/>
      </c>
      <c r="K171" s="17">
        <f>IF(AND(ISNUMBER(SEARCH(","&amp;K$1&amp;",",","&amp;SUBSTITUTE(Catalogo!$F171," ","")&amp;",")),Catalogo!$H171&lt;&gt;"N"),"●","")</f>
        <v/>
      </c>
      <c r="L171" s="17">
        <f>IF(AND(ISNUMBER(SEARCH(","&amp;L$1&amp;",",","&amp;SUBSTITUTE(Catalogo!$F171," ","")&amp;",")),Catalogo!$H171&lt;&gt;"N"),"●","")</f>
        <v/>
      </c>
      <c r="M171" s="17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7">
        <f>IF(Catalogo!H172="","(vazio)",Catalogo!H172)</f>
        <v/>
      </c>
      <c r="D172" s="17">
        <f>IF(AND(ISNUMBER(SEARCH(","&amp;D$1&amp;",",","&amp;SUBSTITUTE(Catalogo!$F172," ","")&amp;",")),Catalogo!$H172&lt;&gt;"N"),"●","")</f>
        <v/>
      </c>
      <c r="E172" s="17">
        <f>IF(AND(ISNUMBER(SEARCH(","&amp;E$1&amp;",",","&amp;SUBSTITUTE(Catalogo!$F172," ","")&amp;",")),Catalogo!$H172&lt;&gt;"N"),"●","")</f>
        <v/>
      </c>
      <c r="F172" s="17">
        <f>IF(AND(ISNUMBER(SEARCH(","&amp;F$1&amp;",",","&amp;SUBSTITUTE(Catalogo!$F172," ","")&amp;",")),Catalogo!$H172&lt;&gt;"N"),"●","")</f>
        <v/>
      </c>
      <c r="G172" s="17">
        <f>IF(AND(ISNUMBER(SEARCH(","&amp;G$1&amp;",",","&amp;SUBSTITUTE(Catalogo!$F172," ","")&amp;",")),Catalogo!$H172&lt;&gt;"N"),"●","")</f>
        <v/>
      </c>
      <c r="H172" s="17">
        <f>IF(AND(ISNUMBER(SEARCH(","&amp;H$1&amp;",",","&amp;SUBSTITUTE(Catalogo!$F172," ","")&amp;",")),Catalogo!$H172&lt;&gt;"N"),"●","")</f>
        <v/>
      </c>
      <c r="I172" s="17">
        <f>IF(AND(ISNUMBER(SEARCH(","&amp;I$1&amp;",",","&amp;SUBSTITUTE(Catalogo!$F172," ","")&amp;",")),Catalogo!$H172&lt;&gt;"N"),"●","")</f>
        <v/>
      </c>
      <c r="J172" s="17">
        <f>IF(AND(ISNUMBER(SEARCH(","&amp;J$1&amp;",",","&amp;SUBSTITUTE(Catalogo!$F172," ","")&amp;",")),Catalogo!$H172&lt;&gt;"N"),"●","")</f>
        <v/>
      </c>
      <c r="K172" s="17">
        <f>IF(AND(ISNUMBER(SEARCH(","&amp;K$1&amp;",",","&amp;SUBSTITUTE(Catalogo!$F172," ","")&amp;",")),Catalogo!$H172&lt;&gt;"N"),"●","")</f>
        <v/>
      </c>
      <c r="L172" s="17">
        <f>IF(AND(ISNUMBER(SEARCH(","&amp;L$1&amp;",",","&amp;SUBSTITUTE(Catalogo!$F172," ","")&amp;",")),Catalogo!$H172&lt;&gt;"N"),"●","")</f>
        <v/>
      </c>
      <c r="M172" s="17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7">
        <f>IF(Catalogo!H173="","(vazio)",Catalogo!H173)</f>
        <v/>
      </c>
      <c r="D173" s="17">
        <f>IF(AND(ISNUMBER(SEARCH(","&amp;D$1&amp;",",","&amp;SUBSTITUTE(Catalogo!$F173," ","")&amp;",")),Catalogo!$H173&lt;&gt;"N"),"●","")</f>
        <v/>
      </c>
      <c r="E173" s="17">
        <f>IF(AND(ISNUMBER(SEARCH(","&amp;E$1&amp;",",","&amp;SUBSTITUTE(Catalogo!$F173," ","")&amp;",")),Catalogo!$H173&lt;&gt;"N"),"●","")</f>
        <v/>
      </c>
      <c r="F173" s="17">
        <f>IF(AND(ISNUMBER(SEARCH(","&amp;F$1&amp;",",","&amp;SUBSTITUTE(Catalogo!$F173," ","")&amp;",")),Catalogo!$H173&lt;&gt;"N"),"●","")</f>
        <v/>
      </c>
      <c r="G173" s="17">
        <f>IF(AND(ISNUMBER(SEARCH(","&amp;G$1&amp;",",","&amp;SUBSTITUTE(Catalogo!$F173," ","")&amp;",")),Catalogo!$H173&lt;&gt;"N"),"●","")</f>
        <v/>
      </c>
      <c r="H173" s="17">
        <f>IF(AND(ISNUMBER(SEARCH(","&amp;H$1&amp;",",","&amp;SUBSTITUTE(Catalogo!$F173," ","")&amp;",")),Catalogo!$H173&lt;&gt;"N"),"●","")</f>
        <v/>
      </c>
      <c r="I173" s="17">
        <f>IF(AND(ISNUMBER(SEARCH(","&amp;I$1&amp;",",","&amp;SUBSTITUTE(Catalogo!$F173," ","")&amp;",")),Catalogo!$H173&lt;&gt;"N"),"●","")</f>
        <v/>
      </c>
      <c r="J173" s="17">
        <f>IF(AND(ISNUMBER(SEARCH(","&amp;J$1&amp;",",","&amp;SUBSTITUTE(Catalogo!$F173," ","")&amp;",")),Catalogo!$H173&lt;&gt;"N"),"●","")</f>
        <v/>
      </c>
      <c r="K173" s="17">
        <f>IF(AND(ISNUMBER(SEARCH(","&amp;K$1&amp;",",","&amp;SUBSTITUTE(Catalogo!$F173," ","")&amp;",")),Catalogo!$H173&lt;&gt;"N"),"●","")</f>
        <v/>
      </c>
      <c r="L173" s="17">
        <f>IF(AND(ISNUMBER(SEARCH(","&amp;L$1&amp;",",","&amp;SUBSTITUTE(Catalogo!$F173," ","")&amp;",")),Catalogo!$H173&lt;&gt;"N"),"●","")</f>
        <v/>
      </c>
      <c r="M173" s="17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7">
        <f>IF(Catalogo!H174="","(vazio)",Catalogo!H174)</f>
        <v/>
      </c>
      <c r="D174" s="17">
        <f>IF(AND(ISNUMBER(SEARCH(","&amp;D$1&amp;",",","&amp;SUBSTITUTE(Catalogo!$F174," ","")&amp;",")),Catalogo!$H174&lt;&gt;"N"),"●","")</f>
        <v/>
      </c>
      <c r="E174" s="17">
        <f>IF(AND(ISNUMBER(SEARCH(","&amp;E$1&amp;",",","&amp;SUBSTITUTE(Catalogo!$F174," ","")&amp;",")),Catalogo!$H174&lt;&gt;"N"),"●","")</f>
        <v/>
      </c>
      <c r="F174" s="17">
        <f>IF(AND(ISNUMBER(SEARCH(","&amp;F$1&amp;",",","&amp;SUBSTITUTE(Catalogo!$F174," ","")&amp;",")),Catalogo!$H174&lt;&gt;"N"),"●","")</f>
        <v/>
      </c>
      <c r="G174" s="17">
        <f>IF(AND(ISNUMBER(SEARCH(","&amp;G$1&amp;",",","&amp;SUBSTITUTE(Catalogo!$F174," ","")&amp;",")),Catalogo!$H174&lt;&gt;"N"),"●","")</f>
        <v/>
      </c>
      <c r="H174" s="17">
        <f>IF(AND(ISNUMBER(SEARCH(","&amp;H$1&amp;",",","&amp;SUBSTITUTE(Catalogo!$F174," ","")&amp;",")),Catalogo!$H174&lt;&gt;"N"),"●","")</f>
        <v/>
      </c>
      <c r="I174" s="17">
        <f>IF(AND(ISNUMBER(SEARCH(","&amp;I$1&amp;",",","&amp;SUBSTITUTE(Catalogo!$F174," ","")&amp;",")),Catalogo!$H174&lt;&gt;"N"),"●","")</f>
        <v/>
      </c>
      <c r="J174" s="17">
        <f>IF(AND(ISNUMBER(SEARCH(","&amp;J$1&amp;",",","&amp;SUBSTITUTE(Catalogo!$F174," ","")&amp;",")),Catalogo!$H174&lt;&gt;"N"),"●","")</f>
        <v/>
      </c>
      <c r="K174" s="17">
        <f>IF(AND(ISNUMBER(SEARCH(","&amp;K$1&amp;",",","&amp;SUBSTITUTE(Catalogo!$F174," ","")&amp;",")),Catalogo!$H174&lt;&gt;"N"),"●","")</f>
        <v/>
      </c>
      <c r="L174" s="17">
        <f>IF(AND(ISNUMBER(SEARCH(","&amp;L$1&amp;",",","&amp;SUBSTITUTE(Catalogo!$F174," ","")&amp;",")),Catalogo!$H174&lt;&gt;"N"),"●","")</f>
        <v/>
      </c>
      <c r="M174" s="17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7">
        <f>IF(Catalogo!H175="","(vazio)",Catalogo!H175)</f>
        <v/>
      </c>
      <c r="D175" s="17">
        <f>IF(AND(ISNUMBER(SEARCH(","&amp;D$1&amp;",",","&amp;SUBSTITUTE(Catalogo!$F175," ","")&amp;",")),Catalogo!$H175&lt;&gt;"N"),"●","")</f>
        <v/>
      </c>
      <c r="E175" s="17">
        <f>IF(AND(ISNUMBER(SEARCH(","&amp;E$1&amp;",",","&amp;SUBSTITUTE(Catalogo!$F175," ","")&amp;",")),Catalogo!$H175&lt;&gt;"N"),"●","")</f>
        <v/>
      </c>
      <c r="F175" s="17">
        <f>IF(AND(ISNUMBER(SEARCH(","&amp;F$1&amp;",",","&amp;SUBSTITUTE(Catalogo!$F175," ","")&amp;",")),Catalogo!$H175&lt;&gt;"N"),"●","")</f>
        <v/>
      </c>
      <c r="G175" s="17">
        <f>IF(AND(ISNUMBER(SEARCH(","&amp;G$1&amp;",",","&amp;SUBSTITUTE(Catalogo!$F175," ","")&amp;",")),Catalogo!$H175&lt;&gt;"N"),"●","")</f>
        <v/>
      </c>
      <c r="H175" s="17">
        <f>IF(AND(ISNUMBER(SEARCH(","&amp;H$1&amp;",",","&amp;SUBSTITUTE(Catalogo!$F175," ","")&amp;",")),Catalogo!$H175&lt;&gt;"N"),"●","")</f>
        <v/>
      </c>
      <c r="I175" s="17">
        <f>IF(AND(ISNUMBER(SEARCH(","&amp;I$1&amp;",",","&amp;SUBSTITUTE(Catalogo!$F175," ","")&amp;",")),Catalogo!$H175&lt;&gt;"N"),"●","")</f>
        <v/>
      </c>
      <c r="J175" s="17">
        <f>IF(AND(ISNUMBER(SEARCH(","&amp;J$1&amp;",",","&amp;SUBSTITUTE(Catalogo!$F175," ","")&amp;",")),Catalogo!$H175&lt;&gt;"N"),"●","")</f>
        <v/>
      </c>
      <c r="K175" s="17">
        <f>IF(AND(ISNUMBER(SEARCH(","&amp;K$1&amp;",",","&amp;SUBSTITUTE(Catalogo!$F175," ","")&amp;",")),Catalogo!$H175&lt;&gt;"N"),"●","")</f>
        <v/>
      </c>
      <c r="L175" s="17">
        <f>IF(AND(ISNUMBER(SEARCH(","&amp;L$1&amp;",",","&amp;SUBSTITUTE(Catalogo!$F175," ","")&amp;",")),Catalogo!$H175&lt;&gt;"N"),"●","")</f>
        <v/>
      </c>
      <c r="M175" s="17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7">
        <f>IF(Catalogo!H176="","(vazio)",Catalogo!H176)</f>
        <v/>
      </c>
      <c r="D176" s="17">
        <f>IF(AND(ISNUMBER(SEARCH(","&amp;D$1&amp;",",","&amp;SUBSTITUTE(Catalogo!$F176," ","")&amp;",")),Catalogo!$H176&lt;&gt;"N"),"●","")</f>
        <v/>
      </c>
      <c r="E176" s="17">
        <f>IF(AND(ISNUMBER(SEARCH(","&amp;E$1&amp;",",","&amp;SUBSTITUTE(Catalogo!$F176," ","")&amp;",")),Catalogo!$H176&lt;&gt;"N"),"●","")</f>
        <v/>
      </c>
      <c r="F176" s="17">
        <f>IF(AND(ISNUMBER(SEARCH(","&amp;F$1&amp;",",","&amp;SUBSTITUTE(Catalogo!$F176," ","")&amp;",")),Catalogo!$H176&lt;&gt;"N"),"●","")</f>
        <v/>
      </c>
      <c r="G176" s="17">
        <f>IF(AND(ISNUMBER(SEARCH(","&amp;G$1&amp;",",","&amp;SUBSTITUTE(Catalogo!$F176," ","")&amp;",")),Catalogo!$H176&lt;&gt;"N"),"●","")</f>
        <v/>
      </c>
      <c r="H176" s="17">
        <f>IF(AND(ISNUMBER(SEARCH(","&amp;H$1&amp;",",","&amp;SUBSTITUTE(Catalogo!$F176," ","")&amp;",")),Catalogo!$H176&lt;&gt;"N"),"●","")</f>
        <v/>
      </c>
      <c r="I176" s="17">
        <f>IF(AND(ISNUMBER(SEARCH(","&amp;I$1&amp;",",","&amp;SUBSTITUTE(Catalogo!$F176," ","")&amp;",")),Catalogo!$H176&lt;&gt;"N"),"●","")</f>
        <v/>
      </c>
      <c r="J176" s="17">
        <f>IF(AND(ISNUMBER(SEARCH(","&amp;J$1&amp;",",","&amp;SUBSTITUTE(Catalogo!$F176," ","")&amp;",")),Catalogo!$H176&lt;&gt;"N"),"●","")</f>
        <v/>
      </c>
      <c r="K176" s="17">
        <f>IF(AND(ISNUMBER(SEARCH(","&amp;K$1&amp;",",","&amp;SUBSTITUTE(Catalogo!$F176," ","")&amp;",")),Catalogo!$H176&lt;&gt;"N"),"●","")</f>
        <v/>
      </c>
      <c r="L176" s="17">
        <f>IF(AND(ISNUMBER(SEARCH(","&amp;L$1&amp;",",","&amp;SUBSTITUTE(Catalogo!$F176," ","")&amp;",")),Catalogo!$H176&lt;&gt;"N"),"●","")</f>
        <v/>
      </c>
      <c r="M176" s="17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7">
        <f>IF(Catalogo!H177="","(vazio)",Catalogo!H177)</f>
        <v/>
      </c>
      <c r="D177" s="17">
        <f>IF(AND(ISNUMBER(SEARCH(","&amp;D$1&amp;",",","&amp;SUBSTITUTE(Catalogo!$F177," ","")&amp;",")),Catalogo!$H177&lt;&gt;"N"),"●","")</f>
        <v/>
      </c>
      <c r="E177" s="17">
        <f>IF(AND(ISNUMBER(SEARCH(","&amp;E$1&amp;",",","&amp;SUBSTITUTE(Catalogo!$F177," ","")&amp;",")),Catalogo!$H177&lt;&gt;"N"),"●","")</f>
        <v/>
      </c>
      <c r="F177" s="17">
        <f>IF(AND(ISNUMBER(SEARCH(","&amp;F$1&amp;",",","&amp;SUBSTITUTE(Catalogo!$F177," ","")&amp;",")),Catalogo!$H177&lt;&gt;"N"),"●","")</f>
        <v/>
      </c>
      <c r="G177" s="17">
        <f>IF(AND(ISNUMBER(SEARCH(","&amp;G$1&amp;",",","&amp;SUBSTITUTE(Catalogo!$F177," ","")&amp;",")),Catalogo!$H177&lt;&gt;"N"),"●","")</f>
        <v/>
      </c>
      <c r="H177" s="17">
        <f>IF(AND(ISNUMBER(SEARCH(","&amp;H$1&amp;",",","&amp;SUBSTITUTE(Catalogo!$F177," ","")&amp;",")),Catalogo!$H177&lt;&gt;"N"),"●","")</f>
        <v/>
      </c>
      <c r="I177" s="17">
        <f>IF(AND(ISNUMBER(SEARCH(","&amp;I$1&amp;",",","&amp;SUBSTITUTE(Catalogo!$F177," ","")&amp;",")),Catalogo!$H177&lt;&gt;"N"),"●","")</f>
        <v/>
      </c>
      <c r="J177" s="17">
        <f>IF(AND(ISNUMBER(SEARCH(","&amp;J$1&amp;",",","&amp;SUBSTITUTE(Catalogo!$F177," ","")&amp;",")),Catalogo!$H177&lt;&gt;"N"),"●","")</f>
        <v/>
      </c>
      <c r="K177" s="17">
        <f>IF(AND(ISNUMBER(SEARCH(","&amp;K$1&amp;",",","&amp;SUBSTITUTE(Catalogo!$F177," ","")&amp;",")),Catalogo!$H177&lt;&gt;"N"),"●","")</f>
        <v/>
      </c>
      <c r="L177" s="17">
        <f>IF(AND(ISNUMBER(SEARCH(","&amp;L$1&amp;",",","&amp;SUBSTITUTE(Catalogo!$F177," ","")&amp;",")),Catalogo!$H177&lt;&gt;"N"),"●","")</f>
        <v/>
      </c>
      <c r="M177" s="17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7">
        <f>IF(Catalogo!H178="","(vazio)",Catalogo!H178)</f>
        <v/>
      </c>
      <c r="D178" s="17">
        <f>IF(AND(ISNUMBER(SEARCH(","&amp;D$1&amp;",",","&amp;SUBSTITUTE(Catalogo!$F178," ","")&amp;",")),Catalogo!$H178&lt;&gt;"N"),"●","")</f>
        <v/>
      </c>
      <c r="E178" s="17">
        <f>IF(AND(ISNUMBER(SEARCH(","&amp;E$1&amp;",",","&amp;SUBSTITUTE(Catalogo!$F178," ","")&amp;",")),Catalogo!$H178&lt;&gt;"N"),"●","")</f>
        <v/>
      </c>
      <c r="F178" s="17">
        <f>IF(AND(ISNUMBER(SEARCH(","&amp;F$1&amp;",",","&amp;SUBSTITUTE(Catalogo!$F178," ","")&amp;",")),Catalogo!$H178&lt;&gt;"N"),"●","")</f>
        <v/>
      </c>
      <c r="G178" s="17">
        <f>IF(AND(ISNUMBER(SEARCH(","&amp;G$1&amp;",",","&amp;SUBSTITUTE(Catalogo!$F178," ","")&amp;",")),Catalogo!$H178&lt;&gt;"N"),"●","")</f>
        <v/>
      </c>
      <c r="H178" s="17">
        <f>IF(AND(ISNUMBER(SEARCH(","&amp;H$1&amp;",",","&amp;SUBSTITUTE(Catalogo!$F178," ","")&amp;",")),Catalogo!$H178&lt;&gt;"N"),"●","")</f>
        <v/>
      </c>
      <c r="I178" s="17">
        <f>IF(AND(ISNUMBER(SEARCH(","&amp;I$1&amp;",",","&amp;SUBSTITUTE(Catalogo!$F178," ","")&amp;",")),Catalogo!$H178&lt;&gt;"N"),"●","")</f>
        <v/>
      </c>
      <c r="J178" s="17">
        <f>IF(AND(ISNUMBER(SEARCH(","&amp;J$1&amp;",",","&amp;SUBSTITUTE(Catalogo!$F178," ","")&amp;",")),Catalogo!$H178&lt;&gt;"N"),"●","")</f>
        <v/>
      </c>
      <c r="K178" s="17">
        <f>IF(AND(ISNUMBER(SEARCH(","&amp;K$1&amp;",",","&amp;SUBSTITUTE(Catalogo!$F178," ","")&amp;",")),Catalogo!$H178&lt;&gt;"N"),"●","")</f>
        <v/>
      </c>
      <c r="L178" s="17">
        <f>IF(AND(ISNUMBER(SEARCH(","&amp;L$1&amp;",",","&amp;SUBSTITUTE(Catalogo!$F178," ","")&amp;",")),Catalogo!$H178&lt;&gt;"N"),"●","")</f>
        <v/>
      </c>
      <c r="M178" s="17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7">
        <f>IF(Catalogo!H179="","(vazio)",Catalogo!H179)</f>
        <v/>
      </c>
      <c r="D179" s="17">
        <f>IF(AND(ISNUMBER(SEARCH(","&amp;D$1&amp;",",","&amp;SUBSTITUTE(Catalogo!$F179," ","")&amp;",")),Catalogo!$H179&lt;&gt;"N"),"●","")</f>
        <v/>
      </c>
      <c r="E179" s="17">
        <f>IF(AND(ISNUMBER(SEARCH(","&amp;E$1&amp;",",","&amp;SUBSTITUTE(Catalogo!$F179," ","")&amp;",")),Catalogo!$H179&lt;&gt;"N"),"●","")</f>
        <v/>
      </c>
      <c r="F179" s="17">
        <f>IF(AND(ISNUMBER(SEARCH(","&amp;F$1&amp;",",","&amp;SUBSTITUTE(Catalogo!$F179," ","")&amp;",")),Catalogo!$H179&lt;&gt;"N"),"●","")</f>
        <v/>
      </c>
      <c r="G179" s="17">
        <f>IF(AND(ISNUMBER(SEARCH(","&amp;G$1&amp;",",","&amp;SUBSTITUTE(Catalogo!$F179," ","")&amp;",")),Catalogo!$H179&lt;&gt;"N"),"●","")</f>
        <v/>
      </c>
      <c r="H179" s="17">
        <f>IF(AND(ISNUMBER(SEARCH(","&amp;H$1&amp;",",","&amp;SUBSTITUTE(Catalogo!$F179," ","")&amp;",")),Catalogo!$H179&lt;&gt;"N"),"●","")</f>
        <v/>
      </c>
      <c r="I179" s="17">
        <f>IF(AND(ISNUMBER(SEARCH(","&amp;I$1&amp;",",","&amp;SUBSTITUTE(Catalogo!$F179," ","")&amp;",")),Catalogo!$H179&lt;&gt;"N"),"●","")</f>
        <v/>
      </c>
      <c r="J179" s="17">
        <f>IF(AND(ISNUMBER(SEARCH(","&amp;J$1&amp;",",","&amp;SUBSTITUTE(Catalogo!$F179," ","")&amp;",")),Catalogo!$H179&lt;&gt;"N"),"●","")</f>
        <v/>
      </c>
      <c r="K179" s="17">
        <f>IF(AND(ISNUMBER(SEARCH(","&amp;K$1&amp;",",","&amp;SUBSTITUTE(Catalogo!$F179," ","")&amp;",")),Catalogo!$H179&lt;&gt;"N"),"●","")</f>
        <v/>
      </c>
      <c r="L179" s="17">
        <f>IF(AND(ISNUMBER(SEARCH(","&amp;L$1&amp;",",","&amp;SUBSTITUTE(Catalogo!$F179," ","")&amp;",")),Catalogo!$H179&lt;&gt;"N"),"●","")</f>
        <v/>
      </c>
      <c r="M179" s="17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7">
        <f>IF(Catalogo!H180="","(vazio)",Catalogo!H180)</f>
        <v/>
      </c>
      <c r="D180" s="17">
        <f>IF(AND(ISNUMBER(SEARCH(","&amp;D$1&amp;",",","&amp;SUBSTITUTE(Catalogo!$F180," ","")&amp;",")),Catalogo!$H180&lt;&gt;"N"),"●","")</f>
        <v/>
      </c>
      <c r="E180" s="17">
        <f>IF(AND(ISNUMBER(SEARCH(","&amp;E$1&amp;",",","&amp;SUBSTITUTE(Catalogo!$F180," ","")&amp;",")),Catalogo!$H180&lt;&gt;"N"),"●","")</f>
        <v/>
      </c>
      <c r="F180" s="17">
        <f>IF(AND(ISNUMBER(SEARCH(","&amp;F$1&amp;",",","&amp;SUBSTITUTE(Catalogo!$F180," ","")&amp;",")),Catalogo!$H180&lt;&gt;"N"),"●","")</f>
        <v/>
      </c>
      <c r="G180" s="17">
        <f>IF(AND(ISNUMBER(SEARCH(","&amp;G$1&amp;",",","&amp;SUBSTITUTE(Catalogo!$F180," ","")&amp;",")),Catalogo!$H180&lt;&gt;"N"),"●","")</f>
        <v/>
      </c>
      <c r="H180" s="17">
        <f>IF(AND(ISNUMBER(SEARCH(","&amp;H$1&amp;",",","&amp;SUBSTITUTE(Catalogo!$F180," ","")&amp;",")),Catalogo!$H180&lt;&gt;"N"),"●","")</f>
        <v/>
      </c>
      <c r="I180" s="17">
        <f>IF(AND(ISNUMBER(SEARCH(","&amp;I$1&amp;",",","&amp;SUBSTITUTE(Catalogo!$F180," ","")&amp;",")),Catalogo!$H180&lt;&gt;"N"),"●","")</f>
        <v/>
      </c>
      <c r="J180" s="17">
        <f>IF(AND(ISNUMBER(SEARCH(","&amp;J$1&amp;",",","&amp;SUBSTITUTE(Catalogo!$F180," ","")&amp;",")),Catalogo!$H180&lt;&gt;"N"),"●","")</f>
        <v/>
      </c>
      <c r="K180" s="17">
        <f>IF(AND(ISNUMBER(SEARCH(","&amp;K$1&amp;",",","&amp;SUBSTITUTE(Catalogo!$F180," ","")&amp;",")),Catalogo!$H180&lt;&gt;"N"),"●","")</f>
        <v/>
      </c>
      <c r="L180" s="17">
        <f>IF(AND(ISNUMBER(SEARCH(","&amp;L$1&amp;",",","&amp;SUBSTITUTE(Catalogo!$F180," ","")&amp;",")),Catalogo!$H180&lt;&gt;"N"),"●","")</f>
        <v/>
      </c>
      <c r="M180" s="17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7">
        <f>IF(Catalogo!H181="","(vazio)",Catalogo!H181)</f>
        <v/>
      </c>
      <c r="D181" s="17">
        <f>IF(AND(ISNUMBER(SEARCH(","&amp;D$1&amp;",",","&amp;SUBSTITUTE(Catalogo!$F181," ","")&amp;",")),Catalogo!$H181&lt;&gt;"N"),"●","")</f>
        <v/>
      </c>
      <c r="E181" s="17">
        <f>IF(AND(ISNUMBER(SEARCH(","&amp;E$1&amp;",",","&amp;SUBSTITUTE(Catalogo!$F181," ","")&amp;",")),Catalogo!$H181&lt;&gt;"N"),"●","")</f>
        <v/>
      </c>
      <c r="F181" s="17">
        <f>IF(AND(ISNUMBER(SEARCH(","&amp;F$1&amp;",",","&amp;SUBSTITUTE(Catalogo!$F181," ","")&amp;",")),Catalogo!$H181&lt;&gt;"N"),"●","")</f>
        <v/>
      </c>
      <c r="G181" s="17">
        <f>IF(AND(ISNUMBER(SEARCH(","&amp;G$1&amp;",",","&amp;SUBSTITUTE(Catalogo!$F181," ","")&amp;",")),Catalogo!$H181&lt;&gt;"N"),"●","")</f>
        <v/>
      </c>
      <c r="H181" s="17">
        <f>IF(AND(ISNUMBER(SEARCH(","&amp;H$1&amp;",",","&amp;SUBSTITUTE(Catalogo!$F181," ","")&amp;",")),Catalogo!$H181&lt;&gt;"N"),"●","")</f>
        <v/>
      </c>
      <c r="I181" s="17">
        <f>IF(AND(ISNUMBER(SEARCH(","&amp;I$1&amp;",",","&amp;SUBSTITUTE(Catalogo!$F181," ","")&amp;",")),Catalogo!$H181&lt;&gt;"N"),"●","")</f>
        <v/>
      </c>
      <c r="J181" s="17">
        <f>IF(AND(ISNUMBER(SEARCH(","&amp;J$1&amp;",",","&amp;SUBSTITUTE(Catalogo!$F181," ","")&amp;",")),Catalogo!$H181&lt;&gt;"N"),"●","")</f>
        <v/>
      </c>
      <c r="K181" s="17">
        <f>IF(AND(ISNUMBER(SEARCH(","&amp;K$1&amp;",",","&amp;SUBSTITUTE(Catalogo!$F181," ","")&amp;",")),Catalogo!$H181&lt;&gt;"N"),"●","")</f>
        <v/>
      </c>
      <c r="L181" s="17">
        <f>IF(AND(ISNUMBER(SEARCH(","&amp;L$1&amp;",",","&amp;SUBSTITUTE(Catalogo!$F181," ","")&amp;",")),Catalogo!$H181&lt;&gt;"N"),"●","")</f>
        <v/>
      </c>
      <c r="M181" s="17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7">
        <f>IF(Catalogo!H182="","(vazio)",Catalogo!H182)</f>
        <v/>
      </c>
      <c r="D182" s="17">
        <f>IF(AND(ISNUMBER(SEARCH(","&amp;D$1&amp;",",","&amp;SUBSTITUTE(Catalogo!$F182," ","")&amp;",")),Catalogo!$H182&lt;&gt;"N"),"●","")</f>
        <v/>
      </c>
      <c r="E182" s="17">
        <f>IF(AND(ISNUMBER(SEARCH(","&amp;E$1&amp;",",","&amp;SUBSTITUTE(Catalogo!$F182," ","")&amp;",")),Catalogo!$H182&lt;&gt;"N"),"●","")</f>
        <v/>
      </c>
      <c r="F182" s="17">
        <f>IF(AND(ISNUMBER(SEARCH(","&amp;F$1&amp;",",","&amp;SUBSTITUTE(Catalogo!$F182," ","")&amp;",")),Catalogo!$H182&lt;&gt;"N"),"●","")</f>
        <v/>
      </c>
      <c r="G182" s="17">
        <f>IF(AND(ISNUMBER(SEARCH(","&amp;G$1&amp;",",","&amp;SUBSTITUTE(Catalogo!$F182," ","")&amp;",")),Catalogo!$H182&lt;&gt;"N"),"●","")</f>
        <v/>
      </c>
      <c r="H182" s="17">
        <f>IF(AND(ISNUMBER(SEARCH(","&amp;H$1&amp;",",","&amp;SUBSTITUTE(Catalogo!$F182," ","")&amp;",")),Catalogo!$H182&lt;&gt;"N"),"●","")</f>
        <v/>
      </c>
      <c r="I182" s="17">
        <f>IF(AND(ISNUMBER(SEARCH(","&amp;I$1&amp;",",","&amp;SUBSTITUTE(Catalogo!$F182," ","")&amp;",")),Catalogo!$H182&lt;&gt;"N"),"●","")</f>
        <v/>
      </c>
      <c r="J182" s="17">
        <f>IF(AND(ISNUMBER(SEARCH(","&amp;J$1&amp;",",","&amp;SUBSTITUTE(Catalogo!$F182," ","")&amp;",")),Catalogo!$H182&lt;&gt;"N"),"●","")</f>
        <v/>
      </c>
      <c r="K182" s="17">
        <f>IF(AND(ISNUMBER(SEARCH(","&amp;K$1&amp;",",","&amp;SUBSTITUTE(Catalogo!$F182," ","")&amp;",")),Catalogo!$H182&lt;&gt;"N"),"●","")</f>
        <v/>
      </c>
      <c r="L182" s="17">
        <f>IF(AND(ISNUMBER(SEARCH(","&amp;L$1&amp;",",","&amp;SUBSTITUTE(Catalogo!$F182," ","")&amp;",")),Catalogo!$H182&lt;&gt;"N"),"●","")</f>
        <v/>
      </c>
      <c r="M182" s="17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7">
        <f>IF(Catalogo!H183="","(vazio)",Catalogo!H183)</f>
        <v/>
      </c>
      <c r="D183" s="17">
        <f>IF(AND(ISNUMBER(SEARCH(","&amp;D$1&amp;",",","&amp;SUBSTITUTE(Catalogo!$F183," ","")&amp;",")),Catalogo!$H183&lt;&gt;"N"),"●","")</f>
        <v/>
      </c>
      <c r="E183" s="17">
        <f>IF(AND(ISNUMBER(SEARCH(","&amp;E$1&amp;",",","&amp;SUBSTITUTE(Catalogo!$F183," ","")&amp;",")),Catalogo!$H183&lt;&gt;"N"),"●","")</f>
        <v/>
      </c>
      <c r="F183" s="17">
        <f>IF(AND(ISNUMBER(SEARCH(","&amp;F$1&amp;",",","&amp;SUBSTITUTE(Catalogo!$F183," ","")&amp;",")),Catalogo!$H183&lt;&gt;"N"),"●","")</f>
        <v/>
      </c>
      <c r="G183" s="17">
        <f>IF(AND(ISNUMBER(SEARCH(","&amp;G$1&amp;",",","&amp;SUBSTITUTE(Catalogo!$F183," ","")&amp;",")),Catalogo!$H183&lt;&gt;"N"),"●","")</f>
        <v/>
      </c>
      <c r="H183" s="17">
        <f>IF(AND(ISNUMBER(SEARCH(","&amp;H$1&amp;",",","&amp;SUBSTITUTE(Catalogo!$F183," ","")&amp;",")),Catalogo!$H183&lt;&gt;"N"),"●","")</f>
        <v/>
      </c>
      <c r="I183" s="17">
        <f>IF(AND(ISNUMBER(SEARCH(","&amp;I$1&amp;",",","&amp;SUBSTITUTE(Catalogo!$F183," ","")&amp;",")),Catalogo!$H183&lt;&gt;"N"),"●","")</f>
        <v/>
      </c>
      <c r="J183" s="17">
        <f>IF(AND(ISNUMBER(SEARCH(","&amp;J$1&amp;",",","&amp;SUBSTITUTE(Catalogo!$F183," ","")&amp;",")),Catalogo!$H183&lt;&gt;"N"),"●","")</f>
        <v/>
      </c>
      <c r="K183" s="17">
        <f>IF(AND(ISNUMBER(SEARCH(","&amp;K$1&amp;",",","&amp;SUBSTITUTE(Catalogo!$F183," ","")&amp;",")),Catalogo!$H183&lt;&gt;"N"),"●","")</f>
        <v/>
      </c>
      <c r="L183" s="17">
        <f>IF(AND(ISNUMBER(SEARCH(","&amp;L$1&amp;",",","&amp;SUBSTITUTE(Catalogo!$F183," ","")&amp;",")),Catalogo!$H183&lt;&gt;"N"),"●","")</f>
        <v/>
      </c>
      <c r="M183" s="17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7">
        <f>IF(Catalogo!H184="","(vazio)",Catalogo!H184)</f>
        <v/>
      </c>
      <c r="D184" s="17">
        <f>IF(AND(ISNUMBER(SEARCH(","&amp;D$1&amp;",",","&amp;SUBSTITUTE(Catalogo!$F184," ","")&amp;",")),Catalogo!$H184&lt;&gt;"N"),"●","")</f>
        <v/>
      </c>
      <c r="E184" s="17">
        <f>IF(AND(ISNUMBER(SEARCH(","&amp;E$1&amp;",",","&amp;SUBSTITUTE(Catalogo!$F184," ","")&amp;",")),Catalogo!$H184&lt;&gt;"N"),"●","")</f>
        <v/>
      </c>
      <c r="F184" s="17">
        <f>IF(AND(ISNUMBER(SEARCH(","&amp;F$1&amp;",",","&amp;SUBSTITUTE(Catalogo!$F184," ","")&amp;",")),Catalogo!$H184&lt;&gt;"N"),"●","")</f>
        <v/>
      </c>
      <c r="G184" s="17">
        <f>IF(AND(ISNUMBER(SEARCH(","&amp;G$1&amp;",",","&amp;SUBSTITUTE(Catalogo!$F184," ","")&amp;",")),Catalogo!$H184&lt;&gt;"N"),"●","")</f>
        <v/>
      </c>
      <c r="H184" s="17">
        <f>IF(AND(ISNUMBER(SEARCH(","&amp;H$1&amp;",",","&amp;SUBSTITUTE(Catalogo!$F184," ","")&amp;",")),Catalogo!$H184&lt;&gt;"N"),"●","")</f>
        <v/>
      </c>
      <c r="I184" s="17">
        <f>IF(AND(ISNUMBER(SEARCH(","&amp;I$1&amp;",",","&amp;SUBSTITUTE(Catalogo!$F184," ","")&amp;",")),Catalogo!$H184&lt;&gt;"N"),"●","")</f>
        <v/>
      </c>
      <c r="J184" s="17">
        <f>IF(AND(ISNUMBER(SEARCH(","&amp;J$1&amp;",",","&amp;SUBSTITUTE(Catalogo!$F184," ","")&amp;",")),Catalogo!$H184&lt;&gt;"N"),"●","")</f>
        <v/>
      </c>
      <c r="K184" s="17">
        <f>IF(AND(ISNUMBER(SEARCH(","&amp;K$1&amp;",",","&amp;SUBSTITUTE(Catalogo!$F184," ","")&amp;",")),Catalogo!$H184&lt;&gt;"N"),"●","")</f>
        <v/>
      </c>
      <c r="L184" s="17">
        <f>IF(AND(ISNUMBER(SEARCH(","&amp;L$1&amp;",",","&amp;SUBSTITUTE(Catalogo!$F184," ","")&amp;",")),Catalogo!$H184&lt;&gt;"N"),"●","")</f>
        <v/>
      </c>
      <c r="M184" s="17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7">
        <f>IF(Catalogo!H185="","(vazio)",Catalogo!H185)</f>
        <v/>
      </c>
      <c r="D185" s="17">
        <f>IF(AND(ISNUMBER(SEARCH(","&amp;D$1&amp;",",","&amp;SUBSTITUTE(Catalogo!$F185," ","")&amp;",")),Catalogo!$H185&lt;&gt;"N"),"●","")</f>
        <v/>
      </c>
      <c r="E185" s="17">
        <f>IF(AND(ISNUMBER(SEARCH(","&amp;E$1&amp;",",","&amp;SUBSTITUTE(Catalogo!$F185," ","")&amp;",")),Catalogo!$H185&lt;&gt;"N"),"●","")</f>
        <v/>
      </c>
      <c r="F185" s="17">
        <f>IF(AND(ISNUMBER(SEARCH(","&amp;F$1&amp;",",","&amp;SUBSTITUTE(Catalogo!$F185," ","")&amp;",")),Catalogo!$H185&lt;&gt;"N"),"●","")</f>
        <v/>
      </c>
      <c r="G185" s="17">
        <f>IF(AND(ISNUMBER(SEARCH(","&amp;G$1&amp;",",","&amp;SUBSTITUTE(Catalogo!$F185," ","")&amp;",")),Catalogo!$H185&lt;&gt;"N"),"●","")</f>
        <v/>
      </c>
      <c r="H185" s="17">
        <f>IF(AND(ISNUMBER(SEARCH(","&amp;H$1&amp;",",","&amp;SUBSTITUTE(Catalogo!$F185," ","")&amp;",")),Catalogo!$H185&lt;&gt;"N"),"●","")</f>
        <v/>
      </c>
      <c r="I185" s="17">
        <f>IF(AND(ISNUMBER(SEARCH(","&amp;I$1&amp;",",","&amp;SUBSTITUTE(Catalogo!$F185," ","")&amp;",")),Catalogo!$H185&lt;&gt;"N"),"●","")</f>
        <v/>
      </c>
      <c r="J185" s="17">
        <f>IF(AND(ISNUMBER(SEARCH(","&amp;J$1&amp;",",","&amp;SUBSTITUTE(Catalogo!$F185," ","")&amp;",")),Catalogo!$H185&lt;&gt;"N"),"●","")</f>
        <v/>
      </c>
      <c r="K185" s="17">
        <f>IF(AND(ISNUMBER(SEARCH(","&amp;K$1&amp;",",","&amp;SUBSTITUTE(Catalogo!$F185," ","")&amp;",")),Catalogo!$H185&lt;&gt;"N"),"●","")</f>
        <v/>
      </c>
      <c r="L185" s="17">
        <f>IF(AND(ISNUMBER(SEARCH(","&amp;L$1&amp;",",","&amp;SUBSTITUTE(Catalogo!$F185," ","")&amp;",")),Catalogo!$H185&lt;&gt;"N"),"●","")</f>
        <v/>
      </c>
      <c r="M185" s="17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7">
        <f>IF(Catalogo!H186="","(vazio)",Catalogo!H186)</f>
        <v/>
      </c>
      <c r="D186" s="17">
        <f>IF(AND(ISNUMBER(SEARCH(","&amp;D$1&amp;",",","&amp;SUBSTITUTE(Catalogo!$F186," ","")&amp;",")),Catalogo!$H186&lt;&gt;"N"),"●","")</f>
        <v/>
      </c>
      <c r="E186" s="17">
        <f>IF(AND(ISNUMBER(SEARCH(","&amp;E$1&amp;",",","&amp;SUBSTITUTE(Catalogo!$F186," ","")&amp;",")),Catalogo!$H186&lt;&gt;"N"),"●","")</f>
        <v/>
      </c>
      <c r="F186" s="17">
        <f>IF(AND(ISNUMBER(SEARCH(","&amp;F$1&amp;",",","&amp;SUBSTITUTE(Catalogo!$F186," ","")&amp;",")),Catalogo!$H186&lt;&gt;"N"),"●","")</f>
        <v/>
      </c>
      <c r="G186" s="17">
        <f>IF(AND(ISNUMBER(SEARCH(","&amp;G$1&amp;",",","&amp;SUBSTITUTE(Catalogo!$F186," ","")&amp;",")),Catalogo!$H186&lt;&gt;"N"),"●","")</f>
        <v/>
      </c>
      <c r="H186" s="17">
        <f>IF(AND(ISNUMBER(SEARCH(","&amp;H$1&amp;",",","&amp;SUBSTITUTE(Catalogo!$F186," ","")&amp;",")),Catalogo!$H186&lt;&gt;"N"),"●","")</f>
        <v/>
      </c>
      <c r="I186" s="17">
        <f>IF(AND(ISNUMBER(SEARCH(","&amp;I$1&amp;",",","&amp;SUBSTITUTE(Catalogo!$F186," ","")&amp;",")),Catalogo!$H186&lt;&gt;"N"),"●","")</f>
        <v/>
      </c>
      <c r="J186" s="17">
        <f>IF(AND(ISNUMBER(SEARCH(","&amp;J$1&amp;",",","&amp;SUBSTITUTE(Catalogo!$F186," ","")&amp;",")),Catalogo!$H186&lt;&gt;"N"),"●","")</f>
        <v/>
      </c>
      <c r="K186" s="17">
        <f>IF(AND(ISNUMBER(SEARCH(","&amp;K$1&amp;",",","&amp;SUBSTITUTE(Catalogo!$F186," ","")&amp;",")),Catalogo!$H186&lt;&gt;"N"),"●","")</f>
        <v/>
      </c>
      <c r="L186" s="17">
        <f>IF(AND(ISNUMBER(SEARCH(","&amp;L$1&amp;",",","&amp;SUBSTITUTE(Catalogo!$F186," ","")&amp;",")),Catalogo!$H186&lt;&gt;"N"),"●","")</f>
        <v/>
      </c>
      <c r="M186" s="17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7">
        <f>IF(Catalogo!H187="","(vazio)",Catalogo!H187)</f>
        <v/>
      </c>
      <c r="D187" s="17">
        <f>IF(AND(ISNUMBER(SEARCH(","&amp;D$1&amp;",",","&amp;SUBSTITUTE(Catalogo!$F187," ","")&amp;",")),Catalogo!$H187&lt;&gt;"N"),"●","")</f>
        <v/>
      </c>
      <c r="E187" s="17">
        <f>IF(AND(ISNUMBER(SEARCH(","&amp;E$1&amp;",",","&amp;SUBSTITUTE(Catalogo!$F187," ","")&amp;",")),Catalogo!$H187&lt;&gt;"N"),"●","")</f>
        <v/>
      </c>
      <c r="F187" s="17">
        <f>IF(AND(ISNUMBER(SEARCH(","&amp;F$1&amp;",",","&amp;SUBSTITUTE(Catalogo!$F187," ","")&amp;",")),Catalogo!$H187&lt;&gt;"N"),"●","")</f>
        <v/>
      </c>
      <c r="G187" s="17">
        <f>IF(AND(ISNUMBER(SEARCH(","&amp;G$1&amp;",",","&amp;SUBSTITUTE(Catalogo!$F187," ","")&amp;",")),Catalogo!$H187&lt;&gt;"N"),"●","")</f>
        <v/>
      </c>
      <c r="H187" s="17">
        <f>IF(AND(ISNUMBER(SEARCH(","&amp;H$1&amp;",",","&amp;SUBSTITUTE(Catalogo!$F187," ","")&amp;",")),Catalogo!$H187&lt;&gt;"N"),"●","")</f>
        <v/>
      </c>
      <c r="I187" s="17">
        <f>IF(AND(ISNUMBER(SEARCH(","&amp;I$1&amp;",",","&amp;SUBSTITUTE(Catalogo!$F187," ","")&amp;",")),Catalogo!$H187&lt;&gt;"N"),"●","")</f>
        <v/>
      </c>
      <c r="J187" s="17">
        <f>IF(AND(ISNUMBER(SEARCH(","&amp;J$1&amp;",",","&amp;SUBSTITUTE(Catalogo!$F187," ","")&amp;",")),Catalogo!$H187&lt;&gt;"N"),"●","")</f>
        <v/>
      </c>
      <c r="K187" s="17">
        <f>IF(AND(ISNUMBER(SEARCH(","&amp;K$1&amp;",",","&amp;SUBSTITUTE(Catalogo!$F187," ","")&amp;",")),Catalogo!$H187&lt;&gt;"N"),"●","")</f>
        <v/>
      </c>
      <c r="L187" s="17">
        <f>IF(AND(ISNUMBER(SEARCH(","&amp;L$1&amp;",",","&amp;SUBSTITUTE(Catalogo!$F187," ","")&amp;",")),Catalogo!$H187&lt;&gt;"N"),"●","")</f>
        <v/>
      </c>
      <c r="M187" s="17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7">
        <f>IF(Catalogo!H188="","(vazio)",Catalogo!H188)</f>
        <v/>
      </c>
      <c r="D188" s="17">
        <f>IF(AND(ISNUMBER(SEARCH(","&amp;D$1&amp;",",","&amp;SUBSTITUTE(Catalogo!$F188," ","")&amp;",")),Catalogo!$H188&lt;&gt;"N"),"●","")</f>
        <v/>
      </c>
      <c r="E188" s="17">
        <f>IF(AND(ISNUMBER(SEARCH(","&amp;E$1&amp;",",","&amp;SUBSTITUTE(Catalogo!$F188," ","")&amp;",")),Catalogo!$H188&lt;&gt;"N"),"●","")</f>
        <v/>
      </c>
      <c r="F188" s="17">
        <f>IF(AND(ISNUMBER(SEARCH(","&amp;F$1&amp;",",","&amp;SUBSTITUTE(Catalogo!$F188," ","")&amp;",")),Catalogo!$H188&lt;&gt;"N"),"●","")</f>
        <v/>
      </c>
      <c r="G188" s="17">
        <f>IF(AND(ISNUMBER(SEARCH(","&amp;G$1&amp;",",","&amp;SUBSTITUTE(Catalogo!$F188," ","")&amp;",")),Catalogo!$H188&lt;&gt;"N"),"●","")</f>
        <v/>
      </c>
      <c r="H188" s="17">
        <f>IF(AND(ISNUMBER(SEARCH(","&amp;H$1&amp;",",","&amp;SUBSTITUTE(Catalogo!$F188," ","")&amp;",")),Catalogo!$H188&lt;&gt;"N"),"●","")</f>
        <v/>
      </c>
      <c r="I188" s="17">
        <f>IF(AND(ISNUMBER(SEARCH(","&amp;I$1&amp;",",","&amp;SUBSTITUTE(Catalogo!$F188," ","")&amp;",")),Catalogo!$H188&lt;&gt;"N"),"●","")</f>
        <v/>
      </c>
      <c r="J188" s="17">
        <f>IF(AND(ISNUMBER(SEARCH(","&amp;J$1&amp;",",","&amp;SUBSTITUTE(Catalogo!$F188," ","")&amp;",")),Catalogo!$H188&lt;&gt;"N"),"●","")</f>
        <v/>
      </c>
      <c r="K188" s="17">
        <f>IF(AND(ISNUMBER(SEARCH(","&amp;K$1&amp;",",","&amp;SUBSTITUTE(Catalogo!$F188," ","")&amp;",")),Catalogo!$H188&lt;&gt;"N"),"●","")</f>
        <v/>
      </c>
      <c r="L188" s="17">
        <f>IF(AND(ISNUMBER(SEARCH(","&amp;L$1&amp;",",","&amp;SUBSTITUTE(Catalogo!$F188," ","")&amp;",")),Catalogo!$H188&lt;&gt;"N"),"●","")</f>
        <v/>
      </c>
      <c r="M188" s="17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7">
        <f>IF(Catalogo!H189="","(vazio)",Catalogo!H189)</f>
        <v/>
      </c>
      <c r="D189" s="17">
        <f>IF(AND(ISNUMBER(SEARCH(","&amp;D$1&amp;",",","&amp;SUBSTITUTE(Catalogo!$F189," ","")&amp;",")),Catalogo!$H189&lt;&gt;"N"),"●","")</f>
        <v/>
      </c>
      <c r="E189" s="17">
        <f>IF(AND(ISNUMBER(SEARCH(","&amp;E$1&amp;",",","&amp;SUBSTITUTE(Catalogo!$F189," ","")&amp;",")),Catalogo!$H189&lt;&gt;"N"),"●","")</f>
        <v/>
      </c>
      <c r="F189" s="17">
        <f>IF(AND(ISNUMBER(SEARCH(","&amp;F$1&amp;",",","&amp;SUBSTITUTE(Catalogo!$F189," ","")&amp;",")),Catalogo!$H189&lt;&gt;"N"),"●","")</f>
        <v/>
      </c>
      <c r="G189" s="17">
        <f>IF(AND(ISNUMBER(SEARCH(","&amp;G$1&amp;",",","&amp;SUBSTITUTE(Catalogo!$F189," ","")&amp;",")),Catalogo!$H189&lt;&gt;"N"),"●","")</f>
        <v/>
      </c>
      <c r="H189" s="17">
        <f>IF(AND(ISNUMBER(SEARCH(","&amp;H$1&amp;",",","&amp;SUBSTITUTE(Catalogo!$F189," ","")&amp;",")),Catalogo!$H189&lt;&gt;"N"),"●","")</f>
        <v/>
      </c>
      <c r="I189" s="17">
        <f>IF(AND(ISNUMBER(SEARCH(","&amp;I$1&amp;",",","&amp;SUBSTITUTE(Catalogo!$F189," ","")&amp;",")),Catalogo!$H189&lt;&gt;"N"),"●","")</f>
        <v/>
      </c>
      <c r="J189" s="17">
        <f>IF(AND(ISNUMBER(SEARCH(","&amp;J$1&amp;",",","&amp;SUBSTITUTE(Catalogo!$F189," ","")&amp;",")),Catalogo!$H189&lt;&gt;"N"),"●","")</f>
        <v/>
      </c>
      <c r="K189" s="17">
        <f>IF(AND(ISNUMBER(SEARCH(","&amp;K$1&amp;",",","&amp;SUBSTITUTE(Catalogo!$F189," ","")&amp;",")),Catalogo!$H189&lt;&gt;"N"),"●","")</f>
        <v/>
      </c>
      <c r="L189" s="17">
        <f>IF(AND(ISNUMBER(SEARCH(","&amp;L$1&amp;",",","&amp;SUBSTITUTE(Catalogo!$F189," ","")&amp;",")),Catalogo!$H189&lt;&gt;"N"),"●","")</f>
        <v/>
      </c>
      <c r="M189" s="17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7">
        <f>IF(Catalogo!H190="","(vazio)",Catalogo!H190)</f>
        <v/>
      </c>
      <c r="D190" s="17">
        <f>IF(AND(ISNUMBER(SEARCH(","&amp;D$1&amp;",",","&amp;SUBSTITUTE(Catalogo!$F190," ","")&amp;",")),Catalogo!$H190&lt;&gt;"N"),"●","")</f>
        <v/>
      </c>
      <c r="E190" s="17">
        <f>IF(AND(ISNUMBER(SEARCH(","&amp;E$1&amp;",",","&amp;SUBSTITUTE(Catalogo!$F190," ","")&amp;",")),Catalogo!$H190&lt;&gt;"N"),"●","")</f>
        <v/>
      </c>
      <c r="F190" s="17">
        <f>IF(AND(ISNUMBER(SEARCH(","&amp;F$1&amp;",",","&amp;SUBSTITUTE(Catalogo!$F190," ","")&amp;",")),Catalogo!$H190&lt;&gt;"N"),"●","")</f>
        <v/>
      </c>
      <c r="G190" s="17">
        <f>IF(AND(ISNUMBER(SEARCH(","&amp;G$1&amp;",",","&amp;SUBSTITUTE(Catalogo!$F190," ","")&amp;",")),Catalogo!$H190&lt;&gt;"N"),"●","")</f>
        <v/>
      </c>
      <c r="H190" s="17">
        <f>IF(AND(ISNUMBER(SEARCH(","&amp;H$1&amp;",",","&amp;SUBSTITUTE(Catalogo!$F190," ","")&amp;",")),Catalogo!$H190&lt;&gt;"N"),"●","")</f>
        <v/>
      </c>
      <c r="I190" s="17">
        <f>IF(AND(ISNUMBER(SEARCH(","&amp;I$1&amp;",",","&amp;SUBSTITUTE(Catalogo!$F190," ","")&amp;",")),Catalogo!$H190&lt;&gt;"N"),"●","")</f>
        <v/>
      </c>
      <c r="J190" s="17">
        <f>IF(AND(ISNUMBER(SEARCH(","&amp;J$1&amp;",",","&amp;SUBSTITUTE(Catalogo!$F190," ","")&amp;",")),Catalogo!$H190&lt;&gt;"N"),"●","")</f>
        <v/>
      </c>
      <c r="K190" s="17">
        <f>IF(AND(ISNUMBER(SEARCH(","&amp;K$1&amp;",",","&amp;SUBSTITUTE(Catalogo!$F190," ","")&amp;",")),Catalogo!$H190&lt;&gt;"N"),"●","")</f>
        <v/>
      </c>
      <c r="L190" s="17">
        <f>IF(AND(ISNUMBER(SEARCH(","&amp;L$1&amp;",",","&amp;SUBSTITUTE(Catalogo!$F190," ","")&amp;",")),Catalogo!$H190&lt;&gt;"N"),"●","")</f>
        <v/>
      </c>
      <c r="M190" s="17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7">
        <f>IF(Catalogo!H191="","(vazio)",Catalogo!H191)</f>
        <v/>
      </c>
      <c r="D191" s="17">
        <f>IF(AND(ISNUMBER(SEARCH(","&amp;D$1&amp;",",","&amp;SUBSTITUTE(Catalogo!$F191," ","")&amp;",")),Catalogo!$H191&lt;&gt;"N"),"●","")</f>
        <v/>
      </c>
      <c r="E191" s="17">
        <f>IF(AND(ISNUMBER(SEARCH(","&amp;E$1&amp;",",","&amp;SUBSTITUTE(Catalogo!$F191," ","")&amp;",")),Catalogo!$H191&lt;&gt;"N"),"●","")</f>
        <v/>
      </c>
      <c r="F191" s="17">
        <f>IF(AND(ISNUMBER(SEARCH(","&amp;F$1&amp;",",","&amp;SUBSTITUTE(Catalogo!$F191," ","")&amp;",")),Catalogo!$H191&lt;&gt;"N"),"●","")</f>
        <v/>
      </c>
      <c r="G191" s="17">
        <f>IF(AND(ISNUMBER(SEARCH(","&amp;G$1&amp;",",","&amp;SUBSTITUTE(Catalogo!$F191," ","")&amp;",")),Catalogo!$H191&lt;&gt;"N"),"●","")</f>
        <v/>
      </c>
      <c r="H191" s="17">
        <f>IF(AND(ISNUMBER(SEARCH(","&amp;H$1&amp;",",","&amp;SUBSTITUTE(Catalogo!$F191," ","")&amp;",")),Catalogo!$H191&lt;&gt;"N"),"●","")</f>
        <v/>
      </c>
      <c r="I191" s="17">
        <f>IF(AND(ISNUMBER(SEARCH(","&amp;I$1&amp;",",","&amp;SUBSTITUTE(Catalogo!$F191," ","")&amp;",")),Catalogo!$H191&lt;&gt;"N"),"●","")</f>
        <v/>
      </c>
      <c r="J191" s="17">
        <f>IF(AND(ISNUMBER(SEARCH(","&amp;J$1&amp;",",","&amp;SUBSTITUTE(Catalogo!$F191," ","")&amp;",")),Catalogo!$H191&lt;&gt;"N"),"●","")</f>
        <v/>
      </c>
      <c r="K191" s="17">
        <f>IF(AND(ISNUMBER(SEARCH(","&amp;K$1&amp;",",","&amp;SUBSTITUTE(Catalogo!$F191," ","")&amp;",")),Catalogo!$H191&lt;&gt;"N"),"●","")</f>
        <v/>
      </c>
      <c r="L191" s="17">
        <f>IF(AND(ISNUMBER(SEARCH(","&amp;L$1&amp;",",","&amp;SUBSTITUTE(Catalogo!$F191," ","")&amp;",")),Catalogo!$H191&lt;&gt;"N"),"●","")</f>
        <v/>
      </c>
      <c r="M191" s="17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7">
        <f>IF(Catalogo!H192="","(vazio)",Catalogo!H192)</f>
        <v/>
      </c>
      <c r="D192" s="17">
        <f>IF(AND(ISNUMBER(SEARCH(","&amp;D$1&amp;",",","&amp;SUBSTITUTE(Catalogo!$F192," ","")&amp;",")),Catalogo!$H192&lt;&gt;"N"),"●","")</f>
        <v/>
      </c>
      <c r="E192" s="17">
        <f>IF(AND(ISNUMBER(SEARCH(","&amp;E$1&amp;",",","&amp;SUBSTITUTE(Catalogo!$F192," ","")&amp;",")),Catalogo!$H192&lt;&gt;"N"),"●","")</f>
        <v/>
      </c>
      <c r="F192" s="17">
        <f>IF(AND(ISNUMBER(SEARCH(","&amp;F$1&amp;",",","&amp;SUBSTITUTE(Catalogo!$F192," ","")&amp;",")),Catalogo!$H192&lt;&gt;"N"),"●","")</f>
        <v/>
      </c>
      <c r="G192" s="17">
        <f>IF(AND(ISNUMBER(SEARCH(","&amp;G$1&amp;",",","&amp;SUBSTITUTE(Catalogo!$F192," ","")&amp;",")),Catalogo!$H192&lt;&gt;"N"),"●","")</f>
        <v/>
      </c>
      <c r="H192" s="17">
        <f>IF(AND(ISNUMBER(SEARCH(","&amp;H$1&amp;",",","&amp;SUBSTITUTE(Catalogo!$F192," ","")&amp;",")),Catalogo!$H192&lt;&gt;"N"),"●","")</f>
        <v/>
      </c>
      <c r="I192" s="17">
        <f>IF(AND(ISNUMBER(SEARCH(","&amp;I$1&amp;",",","&amp;SUBSTITUTE(Catalogo!$F192," ","")&amp;",")),Catalogo!$H192&lt;&gt;"N"),"●","")</f>
        <v/>
      </c>
      <c r="J192" s="17">
        <f>IF(AND(ISNUMBER(SEARCH(","&amp;J$1&amp;",",","&amp;SUBSTITUTE(Catalogo!$F192," ","")&amp;",")),Catalogo!$H192&lt;&gt;"N"),"●","")</f>
        <v/>
      </c>
      <c r="K192" s="17">
        <f>IF(AND(ISNUMBER(SEARCH(","&amp;K$1&amp;",",","&amp;SUBSTITUTE(Catalogo!$F192," ","")&amp;",")),Catalogo!$H192&lt;&gt;"N"),"●","")</f>
        <v/>
      </c>
      <c r="L192" s="17">
        <f>IF(AND(ISNUMBER(SEARCH(","&amp;L$1&amp;",",","&amp;SUBSTITUTE(Catalogo!$F192," ","")&amp;",")),Catalogo!$H192&lt;&gt;"N"),"●","")</f>
        <v/>
      </c>
      <c r="M192" s="17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7">
        <f>IF(Catalogo!H193="","(vazio)",Catalogo!H193)</f>
        <v/>
      </c>
      <c r="D193" s="17">
        <f>IF(AND(ISNUMBER(SEARCH(","&amp;D$1&amp;",",","&amp;SUBSTITUTE(Catalogo!$F193," ","")&amp;",")),Catalogo!$H193&lt;&gt;"N"),"●","")</f>
        <v/>
      </c>
      <c r="E193" s="17">
        <f>IF(AND(ISNUMBER(SEARCH(","&amp;E$1&amp;",",","&amp;SUBSTITUTE(Catalogo!$F193," ","")&amp;",")),Catalogo!$H193&lt;&gt;"N"),"●","")</f>
        <v/>
      </c>
      <c r="F193" s="17">
        <f>IF(AND(ISNUMBER(SEARCH(","&amp;F$1&amp;",",","&amp;SUBSTITUTE(Catalogo!$F193," ","")&amp;",")),Catalogo!$H193&lt;&gt;"N"),"●","")</f>
        <v/>
      </c>
      <c r="G193" s="17">
        <f>IF(AND(ISNUMBER(SEARCH(","&amp;G$1&amp;",",","&amp;SUBSTITUTE(Catalogo!$F193," ","")&amp;",")),Catalogo!$H193&lt;&gt;"N"),"●","")</f>
        <v/>
      </c>
      <c r="H193" s="17">
        <f>IF(AND(ISNUMBER(SEARCH(","&amp;H$1&amp;",",","&amp;SUBSTITUTE(Catalogo!$F193," ","")&amp;",")),Catalogo!$H193&lt;&gt;"N"),"●","")</f>
        <v/>
      </c>
      <c r="I193" s="17">
        <f>IF(AND(ISNUMBER(SEARCH(","&amp;I$1&amp;",",","&amp;SUBSTITUTE(Catalogo!$F193," ","")&amp;",")),Catalogo!$H193&lt;&gt;"N"),"●","")</f>
        <v/>
      </c>
      <c r="J193" s="17">
        <f>IF(AND(ISNUMBER(SEARCH(","&amp;J$1&amp;",",","&amp;SUBSTITUTE(Catalogo!$F193," ","")&amp;",")),Catalogo!$H193&lt;&gt;"N"),"●","")</f>
        <v/>
      </c>
      <c r="K193" s="17">
        <f>IF(AND(ISNUMBER(SEARCH(","&amp;K$1&amp;",",","&amp;SUBSTITUTE(Catalogo!$F193," ","")&amp;",")),Catalogo!$H193&lt;&gt;"N"),"●","")</f>
        <v/>
      </c>
      <c r="L193" s="17">
        <f>IF(AND(ISNUMBER(SEARCH(","&amp;L$1&amp;",",","&amp;SUBSTITUTE(Catalogo!$F193," ","")&amp;",")),Catalogo!$H193&lt;&gt;"N"),"●","")</f>
        <v/>
      </c>
      <c r="M193" s="17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7">
        <f>IF(Catalogo!H194="","(vazio)",Catalogo!H194)</f>
        <v/>
      </c>
      <c r="D194" s="17">
        <f>IF(AND(ISNUMBER(SEARCH(","&amp;D$1&amp;",",","&amp;SUBSTITUTE(Catalogo!$F194," ","")&amp;",")),Catalogo!$H194&lt;&gt;"N"),"●","")</f>
        <v/>
      </c>
      <c r="E194" s="17">
        <f>IF(AND(ISNUMBER(SEARCH(","&amp;E$1&amp;",",","&amp;SUBSTITUTE(Catalogo!$F194," ","")&amp;",")),Catalogo!$H194&lt;&gt;"N"),"●","")</f>
        <v/>
      </c>
      <c r="F194" s="17">
        <f>IF(AND(ISNUMBER(SEARCH(","&amp;F$1&amp;",",","&amp;SUBSTITUTE(Catalogo!$F194," ","")&amp;",")),Catalogo!$H194&lt;&gt;"N"),"●","")</f>
        <v/>
      </c>
      <c r="G194" s="17">
        <f>IF(AND(ISNUMBER(SEARCH(","&amp;G$1&amp;",",","&amp;SUBSTITUTE(Catalogo!$F194," ","")&amp;",")),Catalogo!$H194&lt;&gt;"N"),"●","")</f>
        <v/>
      </c>
      <c r="H194" s="17">
        <f>IF(AND(ISNUMBER(SEARCH(","&amp;H$1&amp;",",","&amp;SUBSTITUTE(Catalogo!$F194," ","")&amp;",")),Catalogo!$H194&lt;&gt;"N"),"●","")</f>
        <v/>
      </c>
      <c r="I194" s="17">
        <f>IF(AND(ISNUMBER(SEARCH(","&amp;I$1&amp;",",","&amp;SUBSTITUTE(Catalogo!$F194," ","")&amp;",")),Catalogo!$H194&lt;&gt;"N"),"●","")</f>
        <v/>
      </c>
      <c r="J194" s="17">
        <f>IF(AND(ISNUMBER(SEARCH(","&amp;J$1&amp;",",","&amp;SUBSTITUTE(Catalogo!$F194," ","")&amp;",")),Catalogo!$H194&lt;&gt;"N"),"●","")</f>
        <v/>
      </c>
      <c r="K194" s="17">
        <f>IF(AND(ISNUMBER(SEARCH(","&amp;K$1&amp;",",","&amp;SUBSTITUTE(Catalogo!$F194," ","")&amp;",")),Catalogo!$H194&lt;&gt;"N"),"●","")</f>
        <v/>
      </c>
      <c r="L194" s="17">
        <f>IF(AND(ISNUMBER(SEARCH(","&amp;L$1&amp;",",","&amp;SUBSTITUTE(Catalogo!$F194," ","")&amp;",")),Catalogo!$H194&lt;&gt;"N"),"●","")</f>
        <v/>
      </c>
      <c r="M194" s="17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7">
        <f>IF(Catalogo!H195="","(vazio)",Catalogo!H195)</f>
        <v/>
      </c>
      <c r="D195" s="17">
        <f>IF(AND(ISNUMBER(SEARCH(","&amp;D$1&amp;",",","&amp;SUBSTITUTE(Catalogo!$F195," ","")&amp;",")),Catalogo!$H195&lt;&gt;"N"),"●","")</f>
        <v/>
      </c>
      <c r="E195" s="17">
        <f>IF(AND(ISNUMBER(SEARCH(","&amp;E$1&amp;",",","&amp;SUBSTITUTE(Catalogo!$F195," ","")&amp;",")),Catalogo!$H195&lt;&gt;"N"),"●","")</f>
        <v/>
      </c>
      <c r="F195" s="17">
        <f>IF(AND(ISNUMBER(SEARCH(","&amp;F$1&amp;",",","&amp;SUBSTITUTE(Catalogo!$F195," ","")&amp;",")),Catalogo!$H195&lt;&gt;"N"),"●","")</f>
        <v/>
      </c>
      <c r="G195" s="17">
        <f>IF(AND(ISNUMBER(SEARCH(","&amp;G$1&amp;",",","&amp;SUBSTITUTE(Catalogo!$F195," ","")&amp;",")),Catalogo!$H195&lt;&gt;"N"),"●","")</f>
        <v/>
      </c>
      <c r="H195" s="17">
        <f>IF(AND(ISNUMBER(SEARCH(","&amp;H$1&amp;",",","&amp;SUBSTITUTE(Catalogo!$F195," ","")&amp;",")),Catalogo!$H195&lt;&gt;"N"),"●","")</f>
        <v/>
      </c>
      <c r="I195" s="17">
        <f>IF(AND(ISNUMBER(SEARCH(","&amp;I$1&amp;",",","&amp;SUBSTITUTE(Catalogo!$F195," ","")&amp;",")),Catalogo!$H195&lt;&gt;"N"),"●","")</f>
        <v/>
      </c>
      <c r="J195" s="17">
        <f>IF(AND(ISNUMBER(SEARCH(","&amp;J$1&amp;",",","&amp;SUBSTITUTE(Catalogo!$F195," ","")&amp;",")),Catalogo!$H195&lt;&gt;"N"),"●","")</f>
        <v/>
      </c>
      <c r="K195" s="17">
        <f>IF(AND(ISNUMBER(SEARCH(","&amp;K$1&amp;",",","&amp;SUBSTITUTE(Catalogo!$F195," ","")&amp;",")),Catalogo!$H195&lt;&gt;"N"),"●","")</f>
        <v/>
      </c>
      <c r="L195" s="17">
        <f>IF(AND(ISNUMBER(SEARCH(","&amp;L$1&amp;",",","&amp;SUBSTITUTE(Catalogo!$F195," ","")&amp;",")),Catalogo!$H195&lt;&gt;"N"),"●","")</f>
        <v/>
      </c>
      <c r="M195" s="17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7">
        <f>IF(Catalogo!H196="","(vazio)",Catalogo!H196)</f>
        <v/>
      </c>
      <c r="D196" s="17">
        <f>IF(AND(ISNUMBER(SEARCH(","&amp;D$1&amp;",",","&amp;SUBSTITUTE(Catalogo!$F196," ","")&amp;",")),Catalogo!$H196&lt;&gt;"N"),"●","")</f>
        <v/>
      </c>
      <c r="E196" s="17">
        <f>IF(AND(ISNUMBER(SEARCH(","&amp;E$1&amp;",",","&amp;SUBSTITUTE(Catalogo!$F196," ","")&amp;",")),Catalogo!$H196&lt;&gt;"N"),"●","")</f>
        <v/>
      </c>
      <c r="F196" s="17">
        <f>IF(AND(ISNUMBER(SEARCH(","&amp;F$1&amp;",",","&amp;SUBSTITUTE(Catalogo!$F196," ","")&amp;",")),Catalogo!$H196&lt;&gt;"N"),"●","")</f>
        <v/>
      </c>
      <c r="G196" s="17">
        <f>IF(AND(ISNUMBER(SEARCH(","&amp;G$1&amp;",",","&amp;SUBSTITUTE(Catalogo!$F196," ","")&amp;",")),Catalogo!$H196&lt;&gt;"N"),"●","")</f>
        <v/>
      </c>
      <c r="H196" s="17">
        <f>IF(AND(ISNUMBER(SEARCH(","&amp;H$1&amp;",",","&amp;SUBSTITUTE(Catalogo!$F196," ","")&amp;",")),Catalogo!$H196&lt;&gt;"N"),"●","")</f>
        <v/>
      </c>
      <c r="I196" s="17">
        <f>IF(AND(ISNUMBER(SEARCH(","&amp;I$1&amp;",",","&amp;SUBSTITUTE(Catalogo!$F196," ","")&amp;",")),Catalogo!$H196&lt;&gt;"N"),"●","")</f>
        <v/>
      </c>
      <c r="J196" s="17">
        <f>IF(AND(ISNUMBER(SEARCH(","&amp;J$1&amp;",",","&amp;SUBSTITUTE(Catalogo!$F196," ","")&amp;",")),Catalogo!$H196&lt;&gt;"N"),"●","")</f>
        <v/>
      </c>
      <c r="K196" s="17">
        <f>IF(AND(ISNUMBER(SEARCH(","&amp;K$1&amp;",",","&amp;SUBSTITUTE(Catalogo!$F196," ","")&amp;",")),Catalogo!$H196&lt;&gt;"N"),"●","")</f>
        <v/>
      </c>
      <c r="L196" s="17">
        <f>IF(AND(ISNUMBER(SEARCH(","&amp;L$1&amp;",",","&amp;SUBSTITUTE(Catalogo!$F196," ","")&amp;",")),Catalogo!$H196&lt;&gt;"N"),"●","")</f>
        <v/>
      </c>
      <c r="M196" s="17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9">
        <f>COUNTIF(D2:D196,"●")</f>
        <v/>
      </c>
      <c r="E198" s="19">
        <f>COUNTIF(E2:E196,"●")</f>
        <v/>
      </c>
      <c r="F198" s="19">
        <f>COUNTIF(F2:F196,"●")</f>
        <v/>
      </c>
      <c r="G198" s="19">
        <f>COUNTIF(G2:G196,"●")</f>
        <v/>
      </c>
      <c r="H198" s="19">
        <f>COUNTIF(H2:H196,"●")</f>
        <v/>
      </c>
      <c r="I198" s="19">
        <f>COUNTIF(I2:I196,"●")</f>
        <v/>
      </c>
      <c r="J198" s="19">
        <f>COUNTIF(J2:J196,"●")</f>
        <v/>
      </c>
      <c r="K198" s="19">
        <f>COUNTIF(K2:K196,"●")</f>
        <v/>
      </c>
      <c r="L198" s="19">
        <f>COUNTIF(L2:L196,"●")</f>
        <v/>
      </c>
      <c r="M198" s="19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4162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6" t="inlineStr">
        <is>
          <t>Nº</t>
        </is>
      </c>
      <c r="B1" s="16" t="inlineStr">
        <is>
          <t>Família</t>
        </is>
      </c>
      <c r="C1" s="16" t="inlineStr">
        <is>
          <t>IDs (catálogo)</t>
        </is>
      </c>
      <c r="D1" s="16" t="inlineStr">
        <is>
          <t>O que se mantém</t>
        </is>
      </c>
      <c r="E1" s="16" t="inlineStr">
        <is>
          <t>Cadência de referência (catálogo)</t>
        </is>
      </c>
      <c r="F1" s="16" t="inlineStr">
        <is>
          <t>Itens aplicáveis na ficha</t>
        </is>
      </c>
      <c r="G1" s="16" t="inlineStr">
        <is>
          <t>Responsável (fornecedor)</t>
        </is>
      </c>
      <c r="H1" s="16" t="inlineStr">
        <is>
          <t>Periodicidade (dias)</t>
        </is>
      </c>
      <c r="I1" s="16" t="inlineStr">
        <is>
          <t>Última execução</t>
        </is>
      </c>
      <c r="J1" s="16" t="inlineStr">
        <is>
          <t>Próxima</t>
        </is>
      </c>
      <c r="K1" s="16" t="inlineStr">
        <is>
          <t>Status</t>
        </is>
      </c>
      <c r="L1" s="16" t="inlineStr">
        <is>
          <t>Evidência (documento / OS)</t>
        </is>
      </c>
      <c r="M1" s="16" t="inlineStr">
        <is>
          <t>Observação</t>
        </is>
      </c>
    </row>
    <row r="2">
      <c r="A2" s="17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7">
        <f>COUNTIFS(Catalogo!$O$2:$O$196,A2,Catalogo!$H$2:$H$196,"&lt;&gt;N")</f>
        <v/>
      </c>
      <c r="G2" s="14" t="n"/>
      <c r="H2" s="18" t="n"/>
      <c r="I2" s="20" t="n"/>
      <c r="J2" s="21">
        <f>IF(OR(H2="",I2=""),"",I2+H2)</f>
        <v/>
      </c>
      <c r="K2" s="17">
        <f>IF(F2=0,"Sem itens",IF(OR(H2="",I2=""),"Sem registro",IF(TODAY()&gt;J2,"VENCIDO","Em dia")))</f>
        <v/>
      </c>
      <c r="L2" s="14" t="n"/>
      <c r="M2" s="14" t="n"/>
    </row>
    <row r="3">
      <c r="A3" s="17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7">
        <f>COUNTIFS(Catalogo!$O$2:$O$196,A3,Catalogo!$H$2:$H$196,"&lt;&gt;N")</f>
        <v/>
      </c>
      <c r="G3" s="14" t="n"/>
      <c r="H3" s="18" t="n"/>
      <c r="I3" s="20" t="n"/>
      <c r="J3" s="21">
        <f>IF(OR(H3="",I3=""),"",I3+H3)</f>
        <v/>
      </c>
      <c r="K3" s="17">
        <f>IF(F3=0,"Sem itens",IF(OR(H3="",I3=""),"Sem registro",IF(TODAY()&gt;J3,"VENCIDO","Em dia")))</f>
        <v/>
      </c>
      <c r="L3" s="14" t="n"/>
      <c r="M3" s="14" t="n"/>
    </row>
    <row r="4">
      <c r="A4" s="17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7">
        <f>COUNTIFS(Catalogo!$O$2:$O$196,A4,Catalogo!$H$2:$H$196,"&lt;&gt;N")</f>
        <v/>
      </c>
      <c r="G4" s="14" t="n"/>
      <c r="H4" s="18" t="n"/>
      <c r="I4" s="20" t="n"/>
      <c r="J4" s="21">
        <f>IF(OR(H4="",I4=""),"",I4+H4)</f>
        <v/>
      </c>
      <c r="K4" s="17">
        <f>IF(F4=0,"Sem itens",IF(OR(H4="",I4=""),"Sem registro",IF(TODAY()&gt;J4,"VENCIDO","Em dia")))</f>
        <v/>
      </c>
      <c r="L4" s="14" t="n"/>
      <c r="M4" s="14" t="n"/>
    </row>
    <row r="5">
      <c r="A5" s="17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7">
        <f>COUNTIFS(Catalogo!$O$2:$O$196,A5,Catalogo!$H$2:$H$196,"&lt;&gt;N")</f>
        <v/>
      </c>
      <c r="G5" s="14" t="n"/>
      <c r="H5" s="18" t="n"/>
      <c r="I5" s="20" t="n"/>
      <c r="J5" s="21">
        <f>IF(OR(H5="",I5=""),"",I5+H5)</f>
        <v/>
      </c>
      <c r="K5" s="17">
        <f>IF(F5=0,"Sem itens",IF(OR(H5="",I5=""),"Sem registro",IF(TODAY()&gt;J5,"VENCIDO","Em dia")))</f>
        <v/>
      </c>
      <c r="L5" s="14" t="n"/>
      <c r="M5" s="14" t="n"/>
    </row>
    <row r="6">
      <c r="A6" s="17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7">
        <f>COUNTIFS(Catalogo!$O$2:$O$196,A6,Catalogo!$H$2:$H$196,"&lt;&gt;N")</f>
        <v/>
      </c>
      <c r="G6" s="14" t="n"/>
      <c r="H6" s="18" t="n"/>
      <c r="I6" s="20" t="n"/>
      <c r="J6" s="21">
        <f>IF(OR(H6="",I6=""),"",I6+H6)</f>
        <v/>
      </c>
      <c r="K6" s="17">
        <f>IF(F6=0,"Sem itens",IF(OR(H6="",I6=""),"Sem registro",IF(TODAY()&gt;J6,"VENCIDO","Em dia")))</f>
        <v/>
      </c>
      <c r="L6" s="14" t="n"/>
      <c r="M6" s="14" t="n"/>
    </row>
    <row r="7">
      <c r="A7" s="17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7">
        <f>COUNTIFS(Catalogo!$O$2:$O$196,A7,Catalogo!$H$2:$H$196,"&lt;&gt;N")</f>
        <v/>
      </c>
      <c r="G7" s="14" t="n"/>
      <c r="H7" s="18" t="n"/>
      <c r="I7" s="20" t="n"/>
      <c r="J7" s="21">
        <f>IF(OR(H7="",I7=""),"",I7+H7)</f>
        <v/>
      </c>
      <c r="K7" s="17">
        <f>IF(F7=0,"Sem itens",IF(OR(H7="",I7=""),"Sem registro",IF(TODAY()&gt;J7,"VENCIDO","Em dia")))</f>
        <v/>
      </c>
      <c r="L7" s="14" t="n"/>
      <c r="M7" s="14" t="n"/>
    </row>
    <row r="8">
      <c r="A8" s="17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7">
        <f>COUNTIFS(Catalogo!$O$2:$O$196,A8,Catalogo!$H$2:$H$196,"&lt;&gt;N")</f>
        <v/>
      </c>
      <c r="G8" s="14" t="n"/>
      <c r="H8" s="18" t="n"/>
      <c r="I8" s="20" t="n"/>
      <c r="J8" s="21">
        <f>IF(OR(H8="",I8=""),"",I8+H8)</f>
        <v/>
      </c>
      <c r="K8" s="17">
        <f>IF(F8=0,"Sem itens",IF(OR(H8="",I8=""),"Sem registro",IF(TODAY()&gt;J8,"VENCIDO","Em dia")))</f>
        <v/>
      </c>
      <c r="L8" s="14" t="n"/>
      <c r="M8" s="14" t="n"/>
    </row>
    <row r="9">
      <c r="A9" s="17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7">
        <f>COUNTIFS(Catalogo!$O$2:$O$196,A9,Catalogo!$H$2:$H$196,"&lt;&gt;N")</f>
        <v/>
      </c>
      <c r="G9" s="14" t="n"/>
      <c r="H9" s="18" t="n"/>
      <c r="I9" s="20" t="n"/>
      <c r="J9" s="21">
        <f>IF(OR(H9="",I9=""),"",I9+H9)</f>
        <v/>
      </c>
      <c r="K9" s="17">
        <f>IF(F9=0,"Sem itens",IF(OR(H9="",I9=""),"Sem registro",IF(TODAY()&gt;J9,"VENCIDO","Em dia")))</f>
        <v/>
      </c>
      <c r="L9" s="14" t="n"/>
      <c r="M9" s="14" t="n"/>
    </row>
    <row r="10">
      <c r="A10" s="17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7">
        <f>COUNTIFS(Catalogo!$O$2:$O$196,A10,Catalogo!$H$2:$H$196,"&lt;&gt;N")</f>
        <v/>
      </c>
      <c r="G10" s="14" t="n"/>
      <c r="H10" s="18" t="n"/>
      <c r="I10" s="20" t="n"/>
      <c r="J10" s="21">
        <f>IF(OR(H10="",I10=""),"",I10+H10)</f>
        <v/>
      </c>
      <c r="K10" s="17">
        <f>IF(F10=0,"Sem itens",IF(OR(H10="",I10=""),"Sem registro",IF(TODAY()&gt;J10,"VENCIDO","Em dia")))</f>
        <v/>
      </c>
      <c r="L10" s="14" t="n"/>
      <c r="M10" s="14" t="n"/>
    </row>
    <row r="11">
      <c r="A11" s="17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7">
        <f>COUNTIFS(Catalogo!$O$2:$O$196,A11,Catalogo!$H$2:$H$196,"&lt;&gt;N")</f>
        <v/>
      </c>
      <c r="G11" s="14" t="n"/>
      <c r="H11" s="18" t="n"/>
      <c r="I11" s="20" t="n"/>
      <c r="J11" s="21">
        <f>IF(OR(H11="",I11=""),"",I11+H11)</f>
        <v/>
      </c>
      <c r="K11" s="17">
        <f>IF(F11=0,"Sem itens",IF(OR(H11="",I11=""),"Sem registro",IF(TODAY()&gt;J11,"VENCIDO","Em dia")))</f>
        <v/>
      </c>
      <c r="L11" s="14" t="n"/>
      <c r="M11" s="14" t="n"/>
    </row>
    <row r="12">
      <c r="A12" s="17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7">
        <f>COUNTIFS(Catalogo!$O$2:$O$196,A12,Catalogo!$H$2:$H$196,"&lt;&gt;N")</f>
        <v/>
      </c>
      <c r="G12" s="14" t="n"/>
      <c r="H12" s="18" t="n"/>
      <c r="I12" s="20" t="n"/>
      <c r="J12" s="21">
        <f>IF(OR(H12="",I12=""),"",I12+H12)</f>
        <v/>
      </c>
      <c r="K12" s="17">
        <f>IF(F12=0,"Sem itens",IF(OR(H12="",I12=""),"Sem registro",IF(TODAY()&gt;J12,"VENCIDO","Em dia")))</f>
        <v/>
      </c>
      <c r="L12" s="14" t="n"/>
      <c r="M12" s="14" t="n"/>
    </row>
    <row r="13">
      <c r="A13" s="17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7">
        <f>COUNTIFS(Catalogo!$O$2:$O$196,A13,Catalogo!$H$2:$H$196,"&lt;&gt;N")</f>
        <v/>
      </c>
      <c r="G13" s="14" t="n"/>
      <c r="H13" s="18" t="n"/>
      <c r="I13" s="20" t="n"/>
      <c r="J13" s="21">
        <f>IF(OR(H13="",I13=""),"",I13+H13)</f>
        <v/>
      </c>
      <c r="K13" s="17">
        <f>IF(F13=0,"Sem itens",IF(OR(H13="",I13=""),"Sem registro",IF(TODAY()&gt;J13,"VENCIDO","Em dia")))</f>
        <v/>
      </c>
      <c r="L13" s="14" t="n"/>
      <c r="M13" s="14" t="n"/>
    </row>
    <row r="14">
      <c r="A14" s="17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7">
        <f>COUNTIFS(Catalogo!$O$2:$O$196,A14,Catalogo!$H$2:$H$196,"&lt;&gt;N")</f>
        <v/>
      </c>
      <c r="G14" s="14" t="n"/>
      <c r="H14" s="18" t="n"/>
      <c r="I14" s="20" t="n"/>
      <c r="J14" s="21">
        <f>IF(OR(H14="",I14=""),"",I14+H14)</f>
        <v/>
      </c>
      <c r="K14" s="17">
        <f>IF(F14=0,"Sem itens",IF(OR(H14="",I14=""),"Sem registro",IF(TODAY()&gt;J14,"VENCIDO","Em dia")))</f>
        <v/>
      </c>
      <c r="L14" s="14" t="n"/>
      <c r="M14" s="14" t="n"/>
    </row>
    <row r="15">
      <c r="A15" s="17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7">
        <f>COUNTIFS(Catalogo!$O$2:$O$196,A15,Catalogo!$H$2:$H$196,"&lt;&gt;N")</f>
        <v/>
      </c>
      <c r="G15" s="14" t="n"/>
      <c r="H15" s="18" t="n"/>
      <c r="I15" s="20" t="n"/>
      <c r="J15" s="21">
        <f>IF(OR(H15="",I15=""),"",I15+H15)</f>
        <v/>
      </c>
      <c r="K15" s="17">
        <f>IF(F15=0,"Sem itens",IF(OR(H15="",I15=""),"Sem registro",IF(TODAY()&gt;J15,"VENCIDO","Em dia")))</f>
        <v/>
      </c>
      <c r="L15" s="14" t="n"/>
      <c r="M15" s="14" t="n"/>
    </row>
    <row r="16">
      <c r="A16" s="17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7">
        <f>COUNTIFS(Catalogo!$O$2:$O$196,A16,Catalogo!$H$2:$H$196,"&lt;&gt;N")</f>
        <v/>
      </c>
      <c r="G16" s="14" t="n"/>
      <c r="H16" s="18" t="n"/>
      <c r="I16" s="20" t="n"/>
      <c r="J16" s="21">
        <f>IF(OR(H16="",I16=""),"",I16+H16)</f>
        <v/>
      </c>
      <c r="K16" s="17">
        <f>IF(F16=0,"Sem itens",IF(OR(H16="",I16=""),"Sem registro",IF(TODAY()&gt;J16,"VENCIDO","Em dia")))</f>
        <v/>
      </c>
      <c r="L16" s="14" t="n"/>
      <c r="M16" s="14" t="n"/>
    </row>
    <row r="17">
      <c r="A17" s="17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7">
        <f>COUNTIFS(Catalogo!$O$2:$O$196,A17,Catalogo!$H$2:$H$196,"&lt;&gt;N")</f>
        <v/>
      </c>
      <c r="G17" s="14" t="n"/>
      <c r="H17" s="18" t="n"/>
      <c r="I17" s="20" t="n"/>
      <c r="J17" s="21">
        <f>IF(OR(H17="",I17=""),"",I17+H17)</f>
        <v/>
      </c>
      <c r="K17" s="17">
        <f>IF(F17=0,"Sem itens",IF(OR(H17="",I17=""),"Sem registro",IF(TODAY()&gt;J17,"VENCIDO","Em dia")))</f>
        <v/>
      </c>
      <c r="L17" s="14" t="n"/>
      <c r="M17" s="14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25C26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7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2" t="n"/>
      <c r="D2" s="23" t="n"/>
      <c r="E2" s="24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5" t="n"/>
      <c r="D3" s="23" t="n"/>
      <c r="E3" s="24" t="n"/>
    </row>
    <row r="4">
      <c r="A4" s="4" t="inlineStr">
        <is>
          <t>Quem acompanhou</t>
        </is>
      </c>
      <c r="C4" s="25" t="n"/>
      <c r="D4" s="23" t="n"/>
      <c r="E4" s="24" t="n"/>
    </row>
    <row r="6" ht="32" customHeight="1">
      <c r="A6" s="16" t="inlineStr">
        <is>
          <t>Item</t>
        </is>
      </c>
      <c r="B6" s="16" t="inlineStr">
        <is>
          <t>Tipo de ponto</t>
        </is>
      </c>
      <c r="C6" s="16" t="inlineStr">
        <is>
          <t>Verifique</t>
        </is>
      </c>
      <c r="D6" s="16" t="inlineStr">
        <is>
          <t>Crítico</t>
        </is>
      </c>
      <c r="E6" s="16" t="inlineStr">
        <is>
          <t>Esperado</t>
        </is>
      </c>
      <c r="F6" s="16" t="inlineStr">
        <is>
          <t>Resposta (S / N / ? / NA)</t>
        </is>
      </c>
      <c r="G6" s="16" t="inlineStr">
        <is>
          <t>Foto nº</t>
        </is>
      </c>
      <c r="H6" s="16" t="inlineStr">
        <is>
          <t>Observação</t>
        </is>
      </c>
      <c r="I6" s="16" t="inlineStr">
        <is>
          <t>Status</t>
        </is>
      </c>
    </row>
    <row r="7">
      <c r="A7" s="17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7" t="inlineStr">
        <is>
          <t>★</t>
        </is>
      </c>
      <c r="E7" s="17" t="inlineStr">
        <is>
          <t>S</t>
        </is>
      </c>
      <c r="F7" s="18" t="n"/>
      <c r="G7" s="18" t="n"/>
      <c r="H7" s="14" t="n"/>
      <c r="I7" s="17">
        <f>IF(F7="","Pendente",IF(F7="NA","N/A",IF(E7="info","Info",IF(F7="?",IF(D7="★","VERMELHO","AMARELO"),IF(F7=E7,"OK",IF(D7="★","VERMELHO","AMARELO"))))))</f>
        <v/>
      </c>
    </row>
    <row r="8">
      <c r="A8" s="17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7" t="inlineStr"/>
      <c r="E8" s="17" t="inlineStr">
        <is>
          <t>info</t>
        </is>
      </c>
      <c r="F8" s="18" t="n"/>
      <c r="G8" s="18" t="n"/>
      <c r="H8" s="14" t="n"/>
      <c r="I8" s="17">
        <f>IF(F8="","Pendente",IF(F8="NA","N/A",IF(E8="info","Info",IF(F8="?",IF(D8="★","VERMELHO","AMARELO"),IF(F8=E8,"OK",IF(D8="★","VERMELHO","AMARELO"))))))</f>
        <v/>
      </c>
    </row>
    <row r="9">
      <c r="A9" s="17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7" t="inlineStr">
        <is>
          <t>★</t>
        </is>
      </c>
      <c r="E9" s="17" t="inlineStr">
        <is>
          <t>S</t>
        </is>
      </c>
      <c r="F9" s="18" t="n"/>
      <c r="G9" s="18" t="n"/>
      <c r="H9" s="14" t="n"/>
      <c r="I9" s="17">
        <f>IF(F9="","Pendente",IF(F9="NA","N/A",IF(E9="info","Info",IF(F9="?",IF(D9="★","VERMELHO","AMARELO"),IF(F9=E9,"OK",IF(D9="★","VERMELHO","AMARELO"))))))</f>
        <v/>
      </c>
    </row>
    <row r="10">
      <c r="A10" s="17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7" t="inlineStr">
        <is>
          <t>★</t>
        </is>
      </c>
      <c r="E10" s="17" t="inlineStr">
        <is>
          <t>S</t>
        </is>
      </c>
      <c r="F10" s="18" t="n"/>
      <c r="G10" s="18" t="n"/>
      <c r="H10" s="14" t="n"/>
      <c r="I10" s="17">
        <f>IF(F10="","Pendente",IF(F10="NA","N/A",IF(E10="info","Info",IF(F10="?",IF(D10="★","VERMELHO","AMARELO"),IF(F10=E10,"OK",IF(D10="★","VERMELHO","AMARELO"))))))</f>
        <v/>
      </c>
    </row>
    <row r="11">
      <c r="A11" s="17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7" t="inlineStr">
        <is>
          <t>★</t>
        </is>
      </c>
      <c r="E11" s="17" t="inlineStr">
        <is>
          <t>S</t>
        </is>
      </c>
      <c r="F11" s="18" t="n"/>
      <c r="G11" s="18" t="n"/>
      <c r="H11" s="14" t="n"/>
      <c r="I11" s="17">
        <f>IF(F11="","Pendente",IF(F11="NA","N/A",IF(E11="info","Info",IF(F11="?",IF(D11="★","VERMELHO","AMARELO"),IF(F11=E11,"OK",IF(D11="★","VERMELHO","AMARELO"))))))</f>
        <v/>
      </c>
    </row>
    <row r="12">
      <c r="A12" s="17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7" t="inlineStr">
        <is>
          <t>★</t>
        </is>
      </c>
      <c r="E12" s="17" t="inlineStr">
        <is>
          <t>N</t>
        </is>
      </c>
      <c r="F12" s="18" t="n"/>
      <c r="G12" s="18" t="n"/>
      <c r="H12" s="14" t="n"/>
      <c r="I12" s="17">
        <f>IF(F12="","Pendente",IF(F12="NA","N/A",IF(E12="info","Info",IF(F12="?",IF(D12="★","VERMELHO","AMARELO"),IF(F12=E12,"OK",IF(D12="★","VERMELHO","AMARELO"))))))</f>
        <v/>
      </c>
    </row>
    <row r="13">
      <c r="A13" s="17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7" t="inlineStr"/>
      <c r="E13" s="17" t="inlineStr">
        <is>
          <t>S</t>
        </is>
      </c>
      <c r="F13" s="18" t="n"/>
      <c r="G13" s="18" t="n"/>
      <c r="H13" s="14" t="n"/>
      <c r="I13" s="17">
        <f>IF(F13="","Pendente",IF(F13="NA","N/A",IF(E13="info","Info",IF(F13="?",IF(D13="★","VERMELHO","AMARELO"),IF(F13=E13,"OK",IF(D13="★","VERMELHO","AMARELO"))))))</f>
        <v/>
      </c>
    </row>
    <row r="14">
      <c r="A14" s="17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7" t="inlineStr"/>
      <c r="E14" s="17" t="inlineStr">
        <is>
          <t>S</t>
        </is>
      </c>
      <c r="F14" s="18" t="n"/>
      <c r="G14" s="18" t="n"/>
      <c r="H14" s="14" t="n"/>
      <c r="I14" s="17">
        <f>IF(F14="","Pendente",IF(F14="NA","N/A",IF(E14="info","Info",IF(F14="?",IF(D14="★","VERMELHO","AMARELO"),IF(F14=E14,"OK",IF(D14="★","VERMELHO","AMARELO"))))))</f>
        <v/>
      </c>
    </row>
    <row r="15">
      <c r="A15" s="17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7" t="inlineStr"/>
      <c r="E15" s="17" t="inlineStr">
        <is>
          <t>N</t>
        </is>
      </c>
      <c r="F15" s="18" t="n"/>
      <c r="G15" s="18" t="n"/>
      <c r="H15" s="14" t="n"/>
      <c r="I15" s="17">
        <f>IF(F15="","Pendente",IF(F15="NA","N/A",IF(E15="info","Info",IF(F15="?",IF(D15="★","VERMELHO","AMARELO"),IF(F15=E15,"OK",IF(D15="★","VERMELHO","AMARELO"))))))</f>
        <v/>
      </c>
    </row>
    <row r="16">
      <c r="A16" s="17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7" t="inlineStr">
        <is>
          <t>★</t>
        </is>
      </c>
      <c r="E16" s="17" t="inlineStr">
        <is>
          <t>N</t>
        </is>
      </c>
      <c r="F16" s="18" t="n"/>
      <c r="G16" s="18" t="n"/>
      <c r="H16" s="14" t="n"/>
      <c r="I16" s="17">
        <f>IF(F16="","Pendente",IF(F16="NA","N/A",IF(E16="info","Info",IF(F16="?",IF(D16="★","VERMELHO","AMARELO"),IF(F16=E16,"OK",IF(D16="★","VERMELHO","AMARELO"))))))</f>
        <v/>
      </c>
    </row>
    <row r="17">
      <c r="A17" s="17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7" t="inlineStr">
        <is>
          <t>★</t>
        </is>
      </c>
      <c r="E17" s="17" t="inlineStr">
        <is>
          <t>N</t>
        </is>
      </c>
      <c r="F17" s="18" t="n"/>
      <c r="G17" s="18" t="n"/>
      <c r="H17" s="14" t="n"/>
      <c r="I17" s="17">
        <f>IF(F17="","Pendente",IF(F17="NA","N/A",IF(E17="info","Info",IF(F17="?",IF(D17="★","VERMELHO","AMARELO"),IF(F17=E17,"OK",IF(D17="★","VERMELHO","AMARELO"))))))</f>
        <v/>
      </c>
    </row>
    <row r="18">
      <c r="A18" s="17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7" t="inlineStr"/>
      <c r="E18" s="17" t="inlineStr">
        <is>
          <t>N</t>
        </is>
      </c>
      <c r="F18" s="18" t="n"/>
      <c r="G18" s="18" t="n"/>
      <c r="H18" s="14" t="n"/>
      <c r="I18" s="17">
        <f>IF(F18="","Pendente",IF(F18="NA","N/A",IF(E18="info","Info",IF(F18="?",IF(D18="★","VERMELHO","AMARELO"),IF(F18=E18,"OK",IF(D18="★","VERMELHO","AMARELO"))))))</f>
        <v/>
      </c>
    </row>
    <row r="19">
      <c r="A19" s="17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7" t="inlineStr"/>
      <c r="E19" s="17" t="inlineStr">
        <is>
          <t>S</t>
        </is>
      </c>
      <c r="F19" s="18" t="n"/>
      <c r="G19" s="18" t="n"/>
      <c r="H19" s="14" t="n"/>
      <c r="I19" s="17">
        <f>IF(F19="","Pendente",IF(F19="NA","N/A",IF(E19="info","Info",IF(F19="?",IF(D19="★","VERMELHO","AMARELO"),IF(F19=E19,"OK",IF(D19="★","VERMELHO","AMARELO"))))))</f>
        <v/>
      </c>
    </row>
    <row r="20">
      <c r="A20" s="17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7" t="inlineStr"/>
      <c r="E20" s="17" t="inlineStr">
        <is>
          <t>S</t>
        </is>
      </c>
      <c r="F20" s="18" t="n"/>
      <c r="G20" s="18" t="n"/>
      <c r="H20" s="14" t="n"/>
      <c r="I20" s="17">
        <f>IF(F20="","Pendente",IF(F20="NA","N/A",IF(E20="info","Info",IF(F20="?",IF(D20="★","VERMELHO","AMARELO"),IF(F20=E20,"OK",IF(D20="★","VERMELHO","AMARELO"))))))</f>
        <v/>
      </c>
    </row>
    <row r="21">
      <c r="A21" s="17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7" t="inlineStr"/>
      <c r="E21" s="17" t="inlineStr">
        <is>
          <t>info</t>
        </is>
      </c>
      <c r="F21" s="18" t="n"/>
      <c r="G21" s="18" t="n"/>
      <c r="H21" s="14" t="n"/>
      <c r="I21" s="17">
        <f>IF(F21="","Pendente",IF(F21="NA","N/A",IF(E21="info","Info",IF(F21="?",IF(D21="★","VERMELHO","AMARELO"),IF(F21=E21,"OK",IF(D21="★","VERMELHO","AMARELO"))))))</f>
        <v/>
      </c>
    </row>
    <row r="22">
      <c r="A22" s="17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7" t="inlineStr">
        <is>
          <t>★</t>
        </is>
      </c>
      <c r="E22" s="17" t="inlineStr">
        <is>
          <t>S</t>
        </is>
      </c>
      <c r="F22" s="18" t="n"/>
      <c r="G22" s="18" t="n"/>
      <c r="H22" s="14" t="n"/>
      <c r="I22" s="17">
        <f>IF(F22="","Pendente",IF(F22="NA","N/A",IF(E22="info","Info",IF(F22="?",IF(D22="★","VERMELHO","AMARELO"),IF(F22=E22,"OK",IF(D22="★","VERMELHO","AMARELO"))))))</f>
        <v/>
      </c>
    </row>
    <row r="23">
      <c r="A23" s="17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7" t="inlineStr"/>
      <c r="E23" s="17" t="inlineStr">
        <is>
          <t>S</t>
        </is>
      </c>
      <c r="F23" s="18" t="n"/>
      <c r="G23" s="18" t="n"/>
      <c r="H23" s="14" t="n"/>
      <c r="I23" s="17">
        <f>IF(F23="","Pendente",IF(F23="NA","N/A",IF(E23="info","Info",IF(F23="?",IF(D23="★","VERMELHO","AMARELO"),IF(F23=E23,"OK",IF(D23="★","VERMELHO","AMARELO"))))))</f>
        <v/>
      </c>
    </row>
    <row r="24">
      <c r="A24" s="17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7" t="inlineStr">
        <is>
          <t>★</t>
        </is>
      </c>
      <c r="E24" s="17" t="inlineStr">
        <is>
          <t>N</t>
        </is>
      </c>
      <c r="F24" s="18" t="n"/>
      <c r="G24" s="18" t="n"/>
      <c r="H24" s="14" t="n"/>
      <c r="I24" s="17">
        <f>IF(F24="","Pendente",IF(F24="NA","N/A",IF(E24="info","Info",IF(F24="?",IF(D24="★","VERMELHO","AMARELO"),IF(F24=E24,"OK",IF(D24="★","VERMELHO","AMARELO"))))))</f>
        <v/>
      </c>
    </row>
    <row r="25">
      <c r="A25" s="17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7" t="inlineStr">
        <is>
          <t>★</t>
        </is>
      </c>
      <c r="E25" s="17" t="inlineStr">
        <is>
          <t>S</t>
        </is>
      </c>
      <c r="F25" s="18" t="n"/>
      <c r="G25" s="18" t="n"/>
      <c r="H25" s="14" t="n"/>
      <c r="I25" s="17">
        <f>IF(F25="","Pendente",IF(F25="NA","N/A",IF(E25="info","Info",IF(F25="?",IF(D25="★","VERMELHO","AMARELO"),IF(F25=E25,"OK",IF(D25="★","VERMELHO","AMARELO"))))))</f>
        <v/>
      </c>
    </row>
    <row r="26">
      <c r="A26" s="17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7" t="inlineStr">
        <is>
          <t>★</t>
        </is>
      </c>
      <c r="E26" s="17" t="inlineStr">
        <is>
          <t>S</t>
        </is>
      </c>
      <c r="F26" s="18" t="n"/>
      <c r="G26" s="18" t="n"/>
      <c r="H26" s="14" t="n"/>
      <c r="I26" s="17">
        <f>IF(F26="","Pendente",IF(F26="NA","N/A",IF(E26="info","Info",IF(F26="?",IF(D26="★","VERMELHO","AMARELO"),IF(F26=E26,"OK",IF(D26="★","VERMELHO","AMARELO"))))))</f>
        <v/>
      </c>
    </row>
    <row r="27">
      <c r="A27" s="17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7" t="inlineStr"/>
      <c r="E27" s="17" t="inlineStr">
        <is>
          <t>N</t>
        </is>
      </c>
      <c r="F27" s="18" t="n"/>
      <c r="G27" s="18" t="n"/>
      <c r="H27" s="14" t="n"/>
      <c r="I27" s="17">
        <f>IF(F27="","Pendente",IF(F27="NA","N/A",IF(E27="info","Info",IF(F27="?",IF(D27="★","VERMELHO","AMARELO"),IF(F27=E27,"OK",IF(D27="★","VERMELHO","AMARELO"))))))</f>
        <v/>
      </c>
    </row>
    <row r="28">
      <c r="A28" s="17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7" t="inlineStr"/>
      <c r="E28" s="17" t="inlineStr">
        <is>
          <t>N</t>
        </is>
      </c>
      <c r="F28" s="18" t="n"/>
      <c r="G28" s="18" t="n"/>
      <c r="H28" s="14" t="n"/>
      <c r="I28" s="17">
        <f>IF(F28="","Pendente",IF(F28="NA","N/A",IF(E28="info","Info",IF(F28="?",IF(D28="★","VERMELHO","AMARELO"),IF(F28=E28,"OK",IF(D28="★","VERMELHO","AMARELO"))))))</f>
        <v/>
      </c>
    </row>
    <row r="29">
      <c r="A29" s="17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7" t="inlineStr"/>
      <c r="E29" s="17" t="inlineStr">
        <is>
          <t>S</t>
        </is>
      </c>
      <c r="F29" s="18" t="n"/>
      <c r="G29" s="18" t="n"/>
      <c r="H29" s="14" t="n"/>
      <c r="I29" s="17">
        <f>IF(F29="","Pendente",IF(F29="NA","N/A",IF(E29="info","Info",IF(F29="?",IF(D29="★","VERMELHO","AMARELO"),IF(F29=E29,"OK",IF(D29="★","VERMELHO","AMARELO"))))))</f>
        <v/>
      </c>
    </row>
    <row r="30">
      <c r="A30" s="17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7" t="inlineStr">
        <is>
          <t>★</t>
        </is>
      </c>
      <c r="E30" s="17" t="inlineStr">
        <is>
          <t>S</t>
        </is>
      </c>
      <c r="F30" s="18" t="n"/>
      <c r="G30" s="18" t="n"/>
      <c r="H30" s="14" t="n"/>
      <c r="I30" s="17">
        <f>IF(F30="","Pendente",IF(F30="NA","N/A",IF(E30="info","Info",IF(F30="?",IF(D30="★","VERMELHO","AMARELO"),IF(F30=E30,"OK",IF(D30="★","VERMELHO","AMARELO"))))))</f>
        <v/>
      </c>
    </row>
    <row r="31">
      <c r="A31" s="17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7" t="inlineStr">
        <is>
          <t>★</t>
        </is>
      </c>
      <c r="E31" s="17" t="inlineStr">
        <is>
          <t>S</t>
        </is>
      </c>
      <c r="F31" s="18" t="n"/>
      <c r="G31" s="18" t="n"/>
      <c r="H31" s="14" t="n"/>
      <c r="I31" s="17">
        <f>IF(F31="","Pendente",IF(F31="NA","N/A",IF(E31="info","Info",IF(F31="?",IF(D31="★","VERMELHO","AMARELO"),IF(F31=E31,"OK",IF(D31="★","VERMELHO","AMARELO"))))))</f>
        <v/>
      </c>
    </row>
    <row r="32">
      <c r="A32" s="17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7" t="inlineStr">
        <is>
          <t>★</t>
        </is>
      </c>
      <c r="E32" s="17" t="inlineStr">
        <is>
          <t>N</t>
        </is>
      </c>
      <c r="F32" s="18" t="n"/>
      <c r="G32" s="18" t="n"/>
      <c r="H32" s="14" t="n"/>
      <c r="I32" s="17">
        <f>IF(F32="","Pendente",IF(F32="NA","N/A",IF(E32="info","Info",IF(F32="?",IF(D32="★","VERMELHO","AMARELO"),IF(F32=E32,"OK",IF(D32="★","VERMELHO","AMARELO"))))))</f>
        <v/>
      </c>
    </row>
    <row r="33">
      <c r="A33" s="17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7" t="inlineStr"/>
      <c r="E33" s="17" t="inlineStr">
        <is>
          <t>N</t>
        </is>
      </c>
      <c r="F33" s="18" t="n"/>
      <c r="G33" s="18" t="n"/>
      <c r="H33" s="14" t="n"/>
      <c r="I33" s="17">
        <f>IF(F33="","Pendente",IF(F33="NA","N/A",IF(E33="info","Info",IF(F33="?",IF(D33="★","VERMELHO","AMARELO"),IF(F33=E33,"OK",IF(D33="★","VERMELHO","AMARELO"))))))</f>
        <v/>
      </c>
    </row>
    <row r="34">
      <c r="A34" s="17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7" t="inlineStr"/>
      <c r="E34" s="17" t="inlineStr">
        <is>
          <t>S</t>
        </is>
      </c>
      <c r="F34" s="18" t="n"/>
      <c r="G34" s="18" t="n"/>
      <c r="H34" s="14" t="n"/>
      <c r="I34" s="17">
        <f>IF(F34="","Pendente",IF(F34="NA","N/A",IF(E34="info","Info",IF(F34="?",IF(D34="★","VERMELHO","AMARELO"),IF(F34=E34,"OK",IF(D34="★","VERMELHO","AMARELO"))))))</f>
        <v/>
      </c>
    </row>
    <row r="35">
      <c r="A35" s="17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7" t="inlineStr"/>
      <c r="E35" s="17" t="inlineStr">
        <is>
          <t>S</t>
        </is>
      </c>
      <c r="F35" s="18" t="n"/>
      <c r="G35" s="18" t="n"/>
      <c r="H35" s="14" t="n"/>
      <c r="I35" s="17">
        <f>IF(F35="","Pendente",IF(F35="NA","N/A",IF(E35="info","Info",IF(F35="?",IF(D35="★","VERMELHO","AMARELO"),IF(F35=E35,"OK",IF(D35="★","VERMELHO","AMARELO"))))))</f>
        <v/>
      </c>
    </row>
    <row r="36">
      <c r="A36" s="17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7" t="inlineStr"/>
      <c r="E36" s="17" t="inlineStr">
        <is>
          <t>info</t>
        </is>
      </c>
      <c r="F36" s="18" t="n"/>
      <c r="G36" s="18" t="n"/>
      <c r="H36" s="14" t="n"/>
      <c r="I36" s="17">
        <f>IF(F36="","Pendente",IF(F36="NA","N/A",IF(E36="info","Info",IF(F36="?",IF(D36="★","VERMELHO","AMARELO"),IF(F36=E36,"OK",IF(D36="★","VERMELHO","AMARELO"))))))</f>
        <v/>
      </c>
    </row>
    <row r="37">
      <c r="A37" s="17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7" t="inlineStr">
        <is>
          <t>★</t>
        </is>
      </c>
      <c r="E37" s="17" t="inlineStr">
        <is>
          <t>S</t>
        </is>
      </c>
      <c r="F37" s="18" t="n"/>
      <c r="G37" s="18" t="n"/>
      <c r="H37" s="14" t="n"/>
      <c r="I37" s="17">
        <f>IF(F37="","Pendente",IF(F37="NA","N/A",IF(E37="info","Info",IF(F37="?",IF(D37="★","VERMELHO","AMARELO"),IF(F37=E37,"OK",IF(D37="★","VERMELHO","AMARELO"))))))</f>
        <v/>
      </c>
    </row>
    <row r="38">
      <c r="A38" s="17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7" t="inlineStr">
        <is>
          <t>★</t>
        </is>
      </c>
      <c r="E38" s="17" t="inlineStr">
        <is>
          <t>S</t>
        </is>
      </c>
      <c r="F38" s="18" t="n"/>
      <c r="G38" s="18" t="n"/>
      <c r="H38" s="14" t="n"/>
      <c r="I38" s="17">
        <f>IF(F38="","Pendente",IF(F38="NA","N/A",IF(E38="info","Info",IF(F38="?",IF(D38="★","VERMELHO","AMARELO"),IF(F38=E38,"OK",IF(D38="★","VERMELHO","AMARELO"))))))</f>
        <v/>
      </c>
    </row>
    <row r="39">
      <c r="A39" s="17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7" t="inlineStr"/>
      <c r="E39" s="17" t="inlineStr">
        <is>
          <t>S</t>
        </is>
      </c>
      <c r="F39" s="18" t="n"/>
      <c r="G39" s="18" t="n"/>
      <c r="H39" s="14" t="n"/>
      <c r="I39" s="17">
        <f>IF(F39="","Pendente",IF(F39="NA","N/A",IF(E39="info","Info",IF(F39="?",IF(D39="★","VERMELHO","AMARELO"),IF(F39=E39,"OK",IF(D39="★","VERMELHO","AMARELO"))))))</f>
        <v/>
      </c>
    </row>
    <row r="40">
      <c r="A40" s="17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7" t="inlineStr"/>
      <c r="E40" s="17" t="inlineStr">
        <is>
          <t>S</t>
        </is>
      </c>
      <c r="F40" s="18" t="n"/>
      <c r="G40" s="18" t="n"/>
      <c r="H40" s="14" t="n"/>
      <c r="I40" s="17">
        <f>IF(F40="","Pendente",IF(F40="NA","N/A",IF(E40="info","Info",IF(F40="?",IF(D40="★","VERMELHO","AMARELO"),IF(F40=E40,"OK",IF(D40="★","VERMELHO","AMARELO"))))))</f>
        <v/>
      </c>
    </row>
    <row r="41">
      <c r="A41" s="17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7" t="inlineStr"/>
      <c r="E41" s="17" t="inlineStr">
        <is>
          <t>N</t>
        </is>
      </c>
      <c r="F41" s="18" t="n"/>
      <c r="G41" s="18" t="n"/>
      <c r="H41" s="14" t="n"/>
      <c r="I41" s="17">
        <f>IF(F41="","Pendente",IF(F41="NA","N/A",IF(E41="info","Info",IF(F41="?",IF(D41="★","VERMELHO","AMARELO"),IF(F41=E41,"OK",IF(D41="★","VERMELHO","AMARELO"))))))</f>
        <v/>
      </c>
    </row>
    <row r="42">
      <c r="A42" s="17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7" t="inlineStr"/>
      <c r="E42" s="17" t="inlineStr">
        <is>
          <t>S</t>
        </is>
      </c>
      <c r="F42" s="18" t="n"/>
      <c r="G42" s="18" t="n"/>
      <c r="H42" s="14" t="n"/>
      <c r="I42" s="17">
        <f>IF(F42="","Pendente",IF(F42="NA","N/A",IF(E42="info","Info",IF(F42="?",IF(D42="★","VERMELHO","AMARELO"),IF(F42=E42,"OK",IF(D42="★","VERMELHO","AMARELO"))))))</f>
        <v/>
      </c>
    </row>
    <row r="43">
      <c r="A43" s="17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7" t="inlineStr">
        <is>
          <t>★</t>
        </is>
      </c>
      <c r="E43" s="17" t="inlineStr">
        <is>
          <t>S</t>
        </is>
      </c>
      <c r="F43" s="18" t="n"/>
      <c r="G43" s="18" t="n"/>
      <c r="H43" s="14" t="n"/>
      <c r="I43" s="17">
        <f>IF(F43="","Pendente",IF(F43="NA","N/A",IF(E43="info","Info",IF(F43="?",IF(D43="★","VERMELHO","AMARELO"),IF(F43=E43,"OK",IF(D43="★","VERMELHO","AMARELO"))))))</f>
        <v/>
      </c>
    </row>
    <row r="44">
      <c r="A44" s="17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7" t="inlineStr">
        <is>
          <t>★</t>
        </is>
      </c>
      <c r="E44" s="17" t="inlineStr">
        <is>
          <t>S</t>
        </is>
      </c>
      <c r="F44" s="18" t="n"/>
      <c r="G44" s="18" t="n"/>
      <c r="H44" s="14" t="n"/>
      <c r="I44" s="17">
        <f>IF(F44="","Pendente",IF(F44="NA","N/A",IF(E44="info","Info",IF(F44="?",IF(D44="★","VERMELHO","AMARELO"),IF(F44=E44,"OK",IF(D44="★","VERMELHO","AMARELO"))))))</f>
        <v/>
      </c>
    </row>
    <row r="45">
      <c r="A45" s="17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7" t="inlineStr">
        <is>
          <t>★</t>
        </is>
      </c>
      <c r="E45" s="17" t="inlineStr">
        <is>
          <t>S</t>
        </is>
      </c>
      <c r="F45" s="18" t="n"/>
      <c r="G45" s="18" t="n"/>
      <c r="H45" s="14" t="n"/>
      <c r="I45" s="17">
        <f>IF(F45="","Pendente",IF(F45="NA","N/A",IF(E45="info","Info",IF(F45="?",IF(D45="★","VERMELHO","AMARELO"),IF(F45=E45,"OK",IF(D45="★","VERMELHO","AMARELO"))))))</f>
        <v/>
      </c>
    </row>
    <row r="46">
      <c r="A46" s="17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7" t="inlineStr"/>
      <c r="E46" s="17" t="inlineStr">
        <is>
          <t>N</t>
        </is>
      </c>
      <c r="F46" s="18" t="n"/>
      <c r="G46" s="18" t="n"/>
      <c r="H46" s="14" t="n"/>
      <c r="I46" s="17">
        <f>IF(F46="","Pendente",IF(F46="NA","N/A",IF(E46="info","Info",IF(F46="?",IF(D46="★","VERMELHO","AMARELO"),IF(F46=E46,"OK",IF(D46="★","VERMELHO","AMARELO"))))))</f>
        <v/>
      </c>
    </row>
    <row r="47">
      <c r="A47" s="17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7" t="inlineStr"/>
      <c r="E47" s="17" t="inlineStr">
        <is>
          <t>N</t>
        </is>
      </c>
      <c r="F47" s="18" t="n"/>
      <c r="G47" s="18" t="n"/>
      <c r="H47" s="14" t="n"/>
      <c r="I47" s="17">
        <f>IF(F47="","Pendente",IF(F47="NA","N/A",IF(E47="info","Info",IF(F47="?",IF(D47="★","VERMELHO","AMARELO"),IF(F47=E47,"OK",IF(D47="★","VERMELHO","AMARELO"))))))</f>
        <v/>
      </c>
    </row>
    <row r="48">
      <c r="A48" s="17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7" t="inlineStr">
        <is>
          <t>★</t>
        </is>
      </c>
      <c r="E48" s="17" t="inlineStr">
        <is>
          <t>N</t>
        </is>
      </c>
      <c r="F48" s="18" t="n"/>
      <c r="G48" s="18" t="n"/>
      <c r="H48" s="14" t="n"/>
      <c r="I48" s="17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25C26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6" t="inlineStr">
        <is>
          <t>Nº</t>
        </is>
      </c>
      <c r="B1" s="16" t="inlineStr">
        <is>
          <t>Data e hora do alerta</t>
        </is>
      </c>
      <c r="C1" s="16" t="inlineStr">
        <is>
          <t>Cenário (1-9)</t>
        </is>
      </c>
      <c r="D1" s="16" t="inlineStr">
        <is>
          <t>Ramo (A-F)</t>
        </is>
      </c>
      <c r="E1" s="16" t="inlineStr">
        <is>
          <t>Local (andar, ponto)</t>
        </is>
      </c>
      <c r="F1" s="16" t="inlineStr">
        <is>
          <t>O que foi observado</t>
        </is>
      </c>
      <c r="G1" s="16" t="inlineStr">
        <is>
          <t>Pessoas afetadas / atendimento</t>
        </is>
      </c>
      <c r="H1" s="16" t="inlineStr">
        <is>
          <t>Ações de contenção (o que, quem, hora)</t>
        </is>
      </c>
      <c r="I1" s="16" t="inlineStr">
        <is>
          <t>Níveis acionados</t>
        </is>
      </c>
      <c r="J1" s="16" t="inlineStr">
        <is>
          <t>Fornecedores / consultor acionados</t>
        </is>
      </c>
      <c r="K1" s="16" t="inlineStr">
        <is>
          <t>Coleta (pontos, laboratório)</t>
        </is>
      </c>
      <c r="L1" s="16" t="inlineStr">
        <is>
          <t>Causa confirmada</t>
        </is>
      </c>
      <c r="M1" s="16" t="inlineStr">
        <is>
          <t>Correção</t>
        </is>
      </c>
      <c r="N1" s="16" t="inlineStr">
        <is>
          <t>Limpeza e desinfecção</t>
        </is>
      </c>
      <c r="O1" s="16" t="inlineStr">
        <is>
          <t>Resultado das análises / parecer</t>
        </is>
      </c>
      <c r="P1" s="16" t="inlineStr">
        <is>
          <t>Autorização do síndico (data)</t>
        </is>
      </c>
      <c r="Q1" s="16" t="inlineStr">
        <is>
          <t>Comunicações enviadas</t>
        </is>
      </c>
      <c r="R1" s="16" t="inlineStr">
        <is>
          <t>Lições / atualização da ficha</t>
        </is>
      </c>
      <c r="S1" s="16" t="inlineStr">
        <is>
          <t>Status</t>
        </is>
      </c>
      <c r="T1" s="16" t="inlineStr">
        <is>
          <t>Dias em aberto</t>
        </is>
      </c>
    </row>
    <row r="2">
      <c r="A2" s="3" t="n">
        <v>1</v>
      </c>
      <c r="B2" s="26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5" t="n"/>
      <c r="Q2" s="14" t="n"/>
      <c r="R2" s="14" t="n"/>
      <c r="S2" s="14" t="n"/>
      <c r="T2" s="3">
        <f>IF(OR(B2="",S2="Encerrado"),"",INT(TODAY()-B2))</f>
        <v/>
      </c>
    </row>
    <row r="3">
      <c r="A3" s="3" t="n">
        <v>2</v>
      </c>
      <c r="B3" s="26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5" t="n"/>
      <c r="Q3" s="14" t="n"/>
      <c r="R3" s="14" t="n"/>
      <c r="S3" s="14" t="n"/>
      <c r="T3" s="3">
        <f>IF(OR(B3="",S3="Encerrado"),"",INT(TODAY()-B3))</f>
        <v/>
      </c>
    </row>
    <row r="4">
      <c r="A4" s="3" t="n">
        <v>3</v>
      </c>
      <c r="B4" s="26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  <c r="Q4" s="14" t="n"/>
      <c r="R4" s="14" t="n"/>
      <c r="S4" s="14" t="n"/>
      <c r="T4" s="3">
        <f>IF(OR(B4="",S4="Encerrado"),"",INT(TODAY()-B4))</f>
        <v/>
      </c>
    </row>
    <row r="5">
      <c r="A5" s="3" t="n">
        <v>4</v>
      </c>
      <c r="B5" s="26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  <c r="Q5" s="14" t="n"/>
      <c r="R5" s="14" t="n"/>
      <c r="S5" s="14" t="n"/>
      <c r="T5" s="3">
        <f>IF(OR(B5="",S5="Encerrado"),"",INT(TODAY()-B5))</f>
        <v/>
      </c>
    </row>
    <row r="6">
      <c r="A6" s="3" t="n">
        <v>5</v>
      </c>
      <c r="B6" s="26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5" t="n"/>
      <c r="Q6" s="14" t="n"/>
      <c r="R6" s="14" t="n"/>
      <c r="S6" s="14" t="n"/>
      <c r="T6" s="3">
        <f>IF(OR(B6="",S6="Encerrado"),"",INT(TODAY()-B6))</f>
        <v/>
      </c>
    </row>
    <row r="7">
      <c r="A7" s="3" t="n">
        <v>6</v>
      </c>
      <c r="B7" s="26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5" t="n"/>
      <c r="Q7" s="14" t="n"/>
      <c r="R7" s="14" t="n"/>
      <c r="S7" s="14" t="n"/>
      <c r="T7" s="3">
        <f>IF(OR(B7="",S7="Encerrado"),"",INT(TODAY()-B7))</f>
        <v/>
      </c>
    </row>
    <row r="8">
      <c r="A8" s="3" t="n">
        <v>7</v>
      </c>
      <c r="B8" s="26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5" t="n"/>
      <c r="Q8" s="14" t="n"/>
      <c r="R8" s="14" t="n"/>
      <c r="S8" s="14" t="n"/>
      <c r="T8" s="3">
        <f>IF(OR(B8="",S8="Encerrado"),"",INT(TODAY()-B8))</f>
        <v/>
      </c>
    </row>
    <row r="9">
      <c r="A9" s="3" t="n">
        <v>8</v>
      </c>
      <c r="B9" s="26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5" t="n"/>
      <c r="Q9" s="14" t="n"/>
      <c r="R9" s="14" t="n"/>
      <c r="S9" s="14" t="n"/>
      <c r="T9" s="3">
        <f>IF(OR(B9="",S9="Encerrado"),"",INT(TODAY()-B9))</f>
        <v/>
      </c>
    </row>
    <row r="10">
      <c r="A10" s="3" t="n">
        <v>9</v>
      </c>
      <c r="B10" s="26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5" t="n"/>
      <c r="Q10" s="14" t="n"/>
      <c r="R10" s="14" t="n"/>
      <c r="S10" s="14" t="n"/>
      <c r="T10" s="3">
        <f>IF(OR(B10="",S10="Encerrado"),"",INT(TODAY()-B10))</f>
        <v/>
      </c>
    </row>
    <row r="11">
      <c r="A11" s="3" t="n">
        <v>10</v>
      </c>
      <c r="B11" s="26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5" t="n"/>
      <c r="Q11" s="14" t="n"/>
      <c r="R11" s="14" t="n"/>
      <c r="S11" s="14" t="n"/>
      <c r="T11" s="3">
        <f>IF(OR(B11="",S11="Encerrado"),"",INT(TODAY()-B11))</f>
        <v/>
      </c>
    </row>
    <row r="12">
      <c r="A12" s="3" t="n">
        <v>11</v>
      </c>
      <c r="B12" s="26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5" t="n"/>
      <c r="Q12" s="14" t="n"/>
      <c r="R12" s="14" t="n"/>
      <c r="S12" s="14" t="n"/>
      <c r="T12" s="3">
        <f>IF(OR(B12="",S12="Encerrado"),"",INT(TODAY()-B12))</f>
        <v/>
      </c>
    </row>
    <row r="13">
      <c r="A13" s="3" t="n">
        <v>12</v>
      </c>
      <c r="B13" s="26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5" t="n"/>
      <c r="Q13" s="14" t="n"/>
      <c r="R13" s="14" t="n"/>
      <c r="S13" s="14" t="n"/>
      <c r="T13" s="3">
        <f>IF(OR(B13="",S13="Encerrado"),"",INT(TODAY()-B13))</f>
        <v/>
      </c>
    </row>
    <row r="14">
      <c r="A14" s="3" t="n">
        <v>13</v>
      </c>
      <c r="B14" s="26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 t="n"/>
      <c r="Q14" s="14" t="n"/>
      <c r="R14" s="14" t="n"/>
      <c r="S14" s="14" t="n"/>
      <c r="T14" s="3">
        <f>IF(OR(B14="",S14="Encerrado"),"",INT(TODAY()-B14))</f>
        <v/>
      </c>
    </row>
    <row r="15">
      <c r="A15" s="3" t="n">
        <v>14</v>
      </c>
      <c r="B15" s="26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5" t="n"/>
      <c r="Q15" s="14" t="n"/>
      <c r="R15" s="14" t="n"/>
      <c r="S15" s="14" t="n"/>
      <c r="T15" s="3">
        <f>IF(OR(B15="",S15="Encerrado"),"",INT(TODAY()-B15))</f>
        <v/>
      </c>
    </row>
    <row r="16">
      <c r="A16" s="3" t="n">
        <v>15</v>
      </c>
      <c r="B16" s="26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5" t="n"/>
      <c r="Q16" s="14" t="n"/>
      <c r="R16" s="14" t="n"/>
      <c r="S16" s="14" t="n"/>
      <c r="T16" s="3">
        <f>IF(OR(B16="",S16="Encerrado"),"",INT(TODAY()-B16))</f>
        <v/>
      </c>
    </row>
    <row r="17">
      <c r="A17" s="3" t="n">
        <v>16</v>
      </c>
      <c r="B17" s="26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5" t="n"/>
      <c r="Q17" s="14" t="n"/>
      <c r="R17" s="14" t="n"/>
      <c r="S17" s="14" t="n"/>
      <c r="T17" s="3">
        <f>IF(OR(B17="",S17="Encerrado"),"",INT(TODAY()-B17))</f>
        <v/>
      </c>
    </row>
    <row r="18">
      <c r="A18" s="3" t="n">
        <v>17</v>
      </c>
      <c r="B18" s="26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  <c r="Q18" s="14" t="n"/>
      <c r="R18" s="14" t="n"/>
      <c r="S18" s="14" t="n"/>
      <c r="T18" s="3">
        <f>IF(OR(B18="",S18="Encerrado"),"",INT(TODAY()-B18))</f>
        <v/>
      </c>
    </row>
    <row r="19">
      <c r="A19" s="3" t="n">
        <v>18</v>
      </c>
      <c r="B19" s="26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 t="n"/>
      <c r="Q19" s="14" t="n"/>
      <c r="R19" s="14" t="n"/>
      <c r="S19" s="14" t="n"/>
      <c r="T19" s="3">
        <f>IF(OR(B19="",S19="Encerrado"),"",INT(TODAY()-B19))</f>
        <v/>
      </c>
    </row>
    <row r="20">
      <c r="A20" s="3" t="n">
        <v>19</v>
      </c>
      <c r="B20" s="26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 t="n"/>
      <c r="Q20" s="14" t="n"/>
      <c r="R20" s="14" t="n"/>
      <c r="S20" s="14" t="n"/>
      <c r="T20" s="3">
        <f>IF(OR(B20="",S20="Encerrado"),"",INT(TODAY()-B20))</f>
        <v/>
      </c>
    </row>
    <row r="21">
      <c r="A21" s="3" t="n">
        <v>20</v>
      </c>
      <c r="B21" s="26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 t="n"/>
      <c r="Q21" s="14" t="n"/>
      <c r="R21" s="14" t="n"/>
      <c r="S21" s="14" t="n"/>
      <c r="T21" s="3">
        <f>IF(OR(B21="",S21="Encerrado"),"",INT(TODAY()-B21))</f>
        <v/>
      </c>
    </row>
    <row r="22">
      <c r="A22" s="3" t="n">
        <v>21</v>
      </c>
      <c r="B22" s="26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 t="n"/>
      <c r="Q22" s="14" t="n"/>
      <c r="R22" s="14" t="n"/>
      <c r="S22" s="14" t="n"/>
      <c r="T22" s="3">
        <f>IF(OR(B22="",S22="Encerrado"),"",INT(TODAY()-B22))</f>
        <v/>
      </c>
    </row>
    <row r="23">
      <c r="A23" s="3" t="n">
        <v>22</v>
      </c>
      <c r="B23" s="26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 t="n"/>
      <c r="Q23" s="14" t="n"/>
      <c r="R23" s="14" t="n"/>
      <c r="S23" s="14" t="n"/>
      <c r="T23" s="3">
        <f>IF(OR(B23="",S23="Encerrado"),"",INT(TODAY()-B23))</f>
        <v/>
      </c>
    </row>
    <row r="24">
      <c r="A24" s="3" t="n">
        <v>23</v>
      </c>
      <c r="B24" s="26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 t="n"/>
      <c r="Q24" s="14" t="n"/>
      <c r="R24" s="14" t="n"/>
      <c r="S24" s="14" t="n"/>
      <c r="T24" s="3">
        <f>IF(OR(B24="",S24="Encerrado"),"",INT(TODAY()-B24))</f>
        <v/>
      </c>
    </row>
    <row r="25">
      <c r="A25" s="3" t="n">
        <v>24</v>
      </c>
      <c r="B25" s="26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 t="n"/>
      <c r="Q25" s="14" t="n"/>
      <c r="R25" s="14" t="n"/>
      <c r="S25" s="14" t="n"/>
      <c r="T25" s="3">
        <f>IF(OR(B25="",S25="Encerrado"),"",INT(TODAY()-B25))</f>
        <v/>
      </c>
    </row>
    <row r="26">
      <c r="A26" s="3" t="n">
        <v>25</v>
      </c>
      <c r="B26" s="26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 t="n"/>
      <c r="Q26" s="14" t="n"/>
      <c r="R26" s="14" t="n"/>
      <c r="S26" s="14" t="n"/>
      <c r="T26" s="3">
        <f>IF(OR(B26="",S26="Encerrado"),"",INT(TODAY()-B26))</f>
        <v/>
      </c>
    </row>
    <row r="27">
      <c r="A27" s="3" t="n">
        <v>26</v>
      </c>
      <c r="B27" s="26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 t="n"/>
      <c r="Q27" s="14" t="n"/>
      <c r="R27" s="14" t="n"/>
      <c r="S27" s="14" t="n"/>
      <c r="T27" s="3">
        <f>IF(OR(B27="",S27="Encerrado"),"",INT(TODAY()-B27))</f>
        <v/>
      </c>
    </row>
    <row r="28">
      <c r="A28" s="3" t="n">
        <v>27</v>
      </c>
      <c r="B28" s="26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 t="n"/>
      <c r="Q28" s="14" t="n"/>
      <c r="R28" s="14" t="n"/>
      <c r="S28" s="14" t="n"/>
      <c r="T28" s="3">
        <f>IF(OR(B28="",S28="Encerrado"),"",INT(TODAY()-B28))</f>
        <v/>
      </c>
    </row>
    <row r="29">
      <c r="A29" s="3" t="n">
        <v>28</v>
      </c>
      <c r="B29" s="26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 t="n"/>
      <c r="Q29" s="14" t="n"/>
      <c r="R29" s="14" t="n"/>
      <c r="S29" s="14" t="n"/>
      <c r="T29" s="3">
        <f>IF(OR(B29="",S29="Encerrado"),"",INT(TODAY()-B29))</f>
        <v/>
      </c>
    </row>
    <row r="30">
      <c r="A30" s="3" t="n">
        <v>29</v>
      </c>
      <c r="B30" s="26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 t="n"/>
      <c r="Q30" s="14" t="n"/>
      <c r="R30" s="14" t="n"/>
      <c r="S30" s="14" t="n"/>
      <c r="T30" s="3">
        <f>IF(OR(B30="",S30="Encerrado"),"",INT(TODAY()-B30))</f>
        <v/>
      </c>
    </row>
    <row r="31">
      <c r="A31" s="3" t="n">
        <v>30</v>
      </c>
      <c r="B31" s="26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 t="n"/>
      <c r="Q31" s="14" t="n"/>
      <c r="R31" s="14" t="n"/>
      <c r="S31" s="14" t="n"/>
      <c r="T31" s="3">
        <f>IF(OR(B31="",S31="Encerrado"),"",INT(TODAY()-B31))</f>
        <v/>
      </c>
    </row>
    <row r="32">
      <c r="A32" s="3" t="n">
        <v>31</v>
      </c>
      <c r="B32" s="26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 t="n"/>
      <c r="Q32" s="14" t="n"/>
      <c r="R32" s="14" t="n"/>
      <c r="S32" s="14" t="n"/>
      <c r="T32" s="3">
        <f>IF(OR(B32="",S32="Encerrado"),"",INT(TODAY()-B32))</f>
        <v/>
      </c>
    </row>
    <row r="33">
      <c r="A33" s="3" t="n">
        <v>32</v>
      </c>
      <c r="B33" s="26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 t="n"/>
      <c r="Q33" s="14" t="n"/>
      <c r="R33" s="14" t="n"/>
      <c r="S33" s="14" t="n"/>
      <c r="T33" s="3">
        <f>IF(OR(B33="",S33="Encerrado"),"",INT(TODAY()-B33))</f>
        <v/>
      </c>
    </row>
    <row r="34">
      <c r="A34" s="3" t="n">
        <v>33</v>
      </c>
      <c r="B34" s="26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 t="n"/>
      <c r="Q34" s="14" t="n"/>
      <c r="R34" s="14" t="n"/>
      <c r="S34" s="14" t="n"/>
      <c r="T34" s="3">
        <f>IF(OR(B34="",S34="Encerrado"),"",INT(TODAY()-B34))</f>
        <v/>
      </c>
    </row>
    <row r="35">
      <c r="A35" s="3" t="n">
        <v>34</v>
      </c>
      <c r="B35" s="26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 t="n"/>
      <c r="Q35" s="14" t="n"/>
      <c r="R35" s="14" t="n"/>
      <c r="S35" s="14" t="n"/>
      <c r="T35" s="3">
        <f>IF(OR(B35="",S35="Encerrado"),"",INT(TODAY()-B35))</f>
        <v/>
      </c>
    </row>
    <row r="36">
      <c r="A36" s="3" t="n">
        <v>35</v>
      </c>
      <c r="B36" s="26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 t="n"/>
      <c r="Q36" s="14" t="n"/>
      <c r="R36" s="14" t="n"/>
      <c r="S36" s="14" t="n"/>
      <c r="T36" s="3">
        <f>IF(OR(B36="",S36="Encerrado"),"",INT(TODAY()-B36))</f>
        <v/>
      </c>
    </row>
    <row r="37">
      <c r="A37" s="3" t="n">
        <v>36</v>
      </c>
      <c r="B37" s="26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 t="n"/>
      <c r="Q37" s="14" t="n"/>
      <c r="R37" s="14" t="n"/>
      <c r="S37" s="14" t="n"/>
      <c r="T37" s="3">
        <f>IF(OR(B37="",S37="Encerrado"),"",INT(TODAY()-B37))</f>
        <v/>
      </c>
    </row>
    <row r="38">
      <c r="A38" s="3" t="n">
        <v>37</v>
      </c>
      <c r="B38" s="26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 t="n"/>
      <c r="Q38" s="14" t="n"/>
      <c r="R38" s="14" t="n"/>
      <c r="S38" s="14" t="n"/>
      <c r="T38" s="3">
        <f>IF(OR(B38="",S38="Encerrado"),"",INT(TODAY()-B38))</f>
        <v/>
      </c>
    </row>
    <row r="39">
      <c r="A39" s="3" t="n">
        <v>38</v>
      </c>
      <c r="B39" s="26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 t="n"/>
      <c r="Q39" s="14" t="n"/>
      <c r="R39" s="14" t="n"/>
      <c r="S39" s="14" t="n"/>
      <c r="T39" s="3">
        <f>IF(OR(B39="",S39="Encerrado"),"",INT(TODAY()-B39))</f>
        <v/>
      </c>
    </row>
    <row r="40">
      <c r="A40" s="3" t="n">
        <v>39</v>
      </c>
      <c r="B40" s="26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  <c r="Q40" s="14" t="n"/>
      <c r="R40" s="14" t="n"/>
      <c r="S40" s="14" t="n"/>
      <c r="T40" s="3">
        <f>IF(OR(B40="",S40="Encerrado"),"",INT(TODAY()-B40))</f>
        <v/>
      </c>
    </row>
    <row r="41">
      <c r="A41" s="3" t="n">
        <v>40</v>
      </c>
      <c r="B41" s="26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 t="n"/>
      <c r="Q41" s="14" t="n"/>
      <c r="R41" s="14" t="n"/>
      <c r="S41" s="14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2026-10-02T19:14:53Z</dcterms:created>
  <dcterms:modified xmlns:dcterms="http://purl.org/dc/terms/" xmlns:xsi="http://www.w3.org/2001/XMLSchema-instance" xsi:type="dcterms:W3CDTF">2026-10-02T19:14:53Z</dcterms:modified>
</cp:coreProperties>
</file>