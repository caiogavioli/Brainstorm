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ME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Condominio" sheetId="3" state="visible" r:id="rId3"/>
    <sheet xmlns:r="http://schemas.openxmlformats.org/officeDocument/2006/relationships" name="Contatos" sheetId="4" state="visible" r:id="rId4"/>
    <sheet xmlns:r="http://schemas.openxmlformats.org/officeDocument/2006/relationships" name="Catalogo" sheetId="5" state="visible" r:id="rId5"/>
    <sheet xmlns:r="http://schemas.openxmlformats.org/officeDocument/2006/relationships" name="Matriz" sheetId="6" state="visible" r:id="rId6"/>
    <sheet xmlns:r="http://schemas.openxmlformats.org/officeDocument/2006/relationships" name="Manutencao" sheetId="7" state="visible" r:id="rId7"/>
    <sheet xmlns:r="http://schemas.openxmlformats.org/officeDocument/2006/relationships" name="Autovistoria" sheetId="8" state="visible" r:id="rId8"/>
    <sheet xmlns:r="http://schemas.openxmlformats.org/officeDocument/2006/relationships" name="Incidentes" sheetId="9" state="visible" r:id="rId9"/>
  </sheets>
  <definedNames>
    <definedName name="_xlnm._FilterDatabase" localSheetId="4" hidden="1">'Catalogo'!$A$1:$O$196</definedName>
    <definedName name="_xlnm._FilterDatabase" localSheetId="5" hidden="1">'Matriz'!$A$1:$M$196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FF"/>
      <sz val="10"/>
    </font>
    <font>
      <name val="Calibri"/>
      <b val="1"/>
      <sz val="10"/>
    </font>
    <font>
      <name val="Calibri"/>
      <i val="1"/>
      <color rgb="00555555"/>
      <sz val="9"/>
    </font>
    <font>
      <name val="Calibri"/>
      <b val="1"/>
      <color rgb="001F2A44"/>
      <sz val="14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BE8D3"/>
      </patternFill>
    </fill>
    <fill>
      <patternFill patternType="solid">
        <fgColor rgb="00DCD8CE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0" borderId="0" pivotButton="0" quotePrefix="0" xfId="0"/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6" fillId="0" borderId="1" pivotButton="0" quotePrefix="0" xfId="0"/>
    <xf numFmtId="0" fontId="3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 wrapText="1"/>
    </xf>
    <xf numFmtId="164" fontId="2" fillId="3" borderId="1" applyAlignment="1" pivotButton="0" quotePrefix="0" xfId="0">
      <alignment horizontal="center" vertical="top" wrapText="1"/>
    </xf>
    <xf numFmtId="164" fontId="0" fillId="0" borderId="1" applyAlignment="1" pivotButton="0" quotePrefix="0" xfId="0">
      <alignment horizontal="center" vertical="top" wrapText="1"/>
    </xf>
    <xf numFmtId="164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3" borderId="1" pivotButton="0" quotePrefix="0" xfId="0"/>
    <xf numFmtId="165" fontId="2" fillId="3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F4C7C3"/>
          <bgColor rgb="00F4C7C3"/>
        </patternFill>
      </fill>
    </dxf>
    <dxf>
      <fill>
        <patternFill patternType="solid">
          <fgColor rgb="00F2C9A0"/>
          <bgColor rgb="00F2C9A0"/>
        </patternFill>
      </fill>
    </dxf>
    <dxf>
      <fill>
        <patternFill patternType="solid">
          <fgColor rgb="00DCE9D5"/>
          <bgColor rgb="00DCE9D5"/>
        </patternFill>
      </fill>
    </dxf>
    <dxf>
      <fill>
        <patternFill patternType="solid">
          <fgColor rgb="00E5E1D6"/>
          <bgColor rgb="00E5E1D6"/>
        </patternFill>
      </fill>
    </dxf>
    <dxf>
      <fill>
        <patternFill patternType="solid">
          <fgColor rgb="00DDE3EC"/>
          <bgColor rgb="00DDE3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5568"/>
    <outlinePr summaryBelow="1" summaryRight="1"/>
    <pageSetUpPr/>
  </sheetPr>
  <dimension ref="A1:B19"/>
  <sheetViews>
    <sheetView zoomScale="100"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DF Síndicos · Plano de Contingência da Água — Planilha-mestre (modelo genérico)</t>
        </is>
      </c>
    </row>
    <row r="3" ht="30" customHeight="1">
      <c r="A3" s="2" t="inlineStr">
        <is>
          <t>Versão</t>
        </is>
      </c>
      <c r="B3" s="3" t="inlineStr">
        <is>
          <t>0.1 — rascunho para revisão técnica · 2026-10-02 · gerada a partir do catálogo v2 (195 itens)</t>
        </is>
      </c>
    </row>
    <row r="4" ht="30" customHeight="1">
      <c r="A4" s="2" t="inlineStr">
        <is>
          <t>O que é</t>
        </is>
      </c>
      <c r="B4" s="3" t="inlineStr">
        <is>
          <t>Ficha por condomínio do plano de contingência, manutenção e monitoramento dos sistemas de água. Esta é a versão em branco: não tem dado de nenhum condomínio.</t>
        </is>
      </c>
    </row>
    <row r="5" ht="75" customHeight="1">
      <c r="A5" s="2" t="inlineStr">
        <is>
          <t>Como usar</t>
        </is>
      </c>
      <c r="B5" s="3" t="inlineStr">
        <is>
          <t>1) Faça uma cópia por condomínio e salve no OneDrive (nunca no GitHub). 2) Preencha 'Condominio' e 'Contatos'. 3) Em 'Catalogo', marque S, N ou ? em cada item. 4) Veja a 'Matriz' (quais cenários valem para o prédio) e o 'Resumo'. 5) Em 'Manutencao', registre responsável, periodicidade e última execução de cada família. 6) Faça a 'Autovistoria' com a equipe residente. 7) Registre ocorrências em 'Incidentes'.</t>
        </is>
      </c>
    </row>
    <row r="6" ht="45" customHeight="1">
      <c r="A6" s="2" t="inlineStr">
        <is>
          <t>Regra de ouro</t>
        </is>
      </c>
      <c r="B6" s="3" t="inlineStr">
        <is>
          <t>'Não sei' (?) e célula em branco valem como PIOR CASO: o item é tratado como existente e sem proteção, e entra na vistoria. Foi esse tipo de ponto, que ninguém sabia que existia, que causou os dois episódios.</t>
        </is>
      </c>
    </row>
    <row r="7" ht="30" customHeight="1">
      <c r="A7" s="2" t="inlineStr">
        <is>
          <t>Células amarelas (texto azul)</t>
        </is>
      </c>
      <c r="B7" s="3" t="inlineStr">
        <is>
          <t>São as únicas que você preenche. Todo o resto é fórmula ou texto fixo.</t>
        </is>
      </c>
    </row>
    <row r="8" ht="45" customHeight="1">
      <c r="A8" s="2" t="inlineStr">
        <is>
          <t>Abas</t>
        </is>
      </c>
      <c r="B8" s="3" t="inlineStr">
        <is>
          <t>Resumo (semáforo e contagens, calculado) · Condominio · Contatos (escada de escalonamento) · Catalogo (195 itens) · Matriz (item × cenário) · Manutencao (16 famílias) · Autovistoria (42 itens, Cenário 1) · Incidentes (registro)</t>
        </is>
      </c>
    </row>
    <row r="9" ht="90" customHeight="1">
      <c r="A9" s="2" t="inlineStr">
        <is>
          <t>Cenários</t>
        </is>
      </c>
      <c r="B9" s="3" t="inlineStr">
        <is>
          <t>1 Contaminação cruzada · 2 Falta de água · 3 Água fora do padrão · 4 Vazamento e alagamento · 5 Falha de bomba ou energia · 6 Incêndio com reserva indisponível · 7 Refluxo de esgoto · 8 Falha do tratamento químico · 9 Contaminação do reservatório · T Comunicação de crise. Os procedimentos dos cenários 1 a 9 e do T (comunicação de crise) estão em entregas/plano-contingencia-agua/cenarios/; os checklists de ronda e do relatório mensal dos fornecedores estão em .../rotinas/.</t>
        </is>
      </c>
    </row>
    <row r="10" ht="45" customHeight="1">
      <c r="A10" s="2" t="inlineStr">
        <is>
          <t>Limites</t>
        </is>
      </c>
      <c r="B10" s="3" t="inlineStr">
        <is>
          <t>A planilha orienta e organiza; não substitui responsável técnico, laudo nem projeto. A coluna 'Cenários' do catálogo foi preenchida por critério técnico geral e deve ser revisada na primeira ficha real. A autovistoria não certifica dispositivo antirretorno nem teste de pressão.</t>
        </is>
      </c>
    </row>
    <row r="11" ht="30" customHeight="1">
      <c r="A11" s="2" t="inlineStr">
        <is>
          <t>Referências</t>
        </is>
      </c>
      <c r="B11" s="3" t="inlineStr">
        <is>
          <t>As marcadas ✔ no catálogo tiveram existência e escopo geral conferidos por pesquisa web; nenhuma norma ABNT foi lida. As marcadas ◻ precisam de confirmação. Ver catalogo-v2.md.</t>
        </is>
      </c>
    </row>
    <row r="12" ht="30" customHeight="1">
      <c r="A12" s="2" t="inlineStr">
        <is>
          <t>Se o catálogo mudar</t>
        </is>
      </c>
      <c r="B12" s="3" t="inlineStr">
        <is>
          <t>O catálogo-fonte é o Markdown deste projeto. Ao revisá-lo, peça para regerar a planilha e copie as respostas S/N/? de cada condomínio pelos IDs, que não mudam.</t>
        </is>
      </c>
    </row>
    <row r="14">
      <c r="A14" s="4" t="inlineStr">
        <is>
          <t>Exemplos de preenchimento (só para mostrar o formato; não copie)</t>
        </is>
      </c>
    </row>
    <row r="15" ht="30" customHeight="1">
      <c r="A15" s="5" t="inlineStr">
        <is>
          <t>Catalogo, item C14</t>
        </is>
      </c>
      <c r="B15" s="6" t="inlineStr">
        <is>
          <t>Existe? S · Local: sala do chiller, cobertura · Foto: IMG_0412 · Data: 15/03/2026 · Quem informou: encarregado de manutenção</t>
        </is>
      </c>
    </row>
    <row r="16" ht="30" customHeight="1">
      <c r="A16" s="5" t="inlineStr">
        <is>
          <t>Catalogo, item A13</t>
        </is>
      </c>
      <c r="B16" s="6" t="inlineStr">
        <is>
          <t>Existe? ? · Observação: ninguém soube dizer se há disconector na reposição · isso vira VISTORIAR e vale como sem proteção</t>
        </is>
      </c>
    </row>
    <row r="17" ht="30" customHeight="1">
      <c r="A17" s="5" t="inlineStr">
        <is>
          <t>Manutencao, família 1</t>
        </is>
      </c>
      <c r="B17" s="6" t="inlineStr">
        <is>
          <t>Responsável: empresa de limpeza de reservatório · Periodicidade: 180 · Última execução: 10/02/2026 → a planilha calcula a próxima data e o status</t>
        </is>
      </c>
    </row>
    <row r="18" ht="30" customHeight="1">
      <c r="A18" s="5" t="inlineStr">
        <is>
          <t>Autovistoria, item 1.6</t>
        </is>
      </c>
      <c r="B18" s="6" t="inlineStr">
        <is>
          <t>Resposta: N (não há mangueira conectada) → Status OK. Se a resposta fosse S, o status seria VERMELHO</t>
        </is>
      </c>
    </row>
    <row r="19" ht="30" customHeight="1">
      <c r="A19" s="5" t="inlineStr">
        <is>
          <t>Incidentes</t>
        </is>
      </c>
      <c r="B19" s="6" t="inlineStr">
        <is>
          <t>Data: 02/10/2026 14:30 · Cenário: 1 · Ramo: A · Local: 8º andar, copa · Observado: água rosa na torneira · Status: Aberto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85C12"/>
    <outlinePr summaryBelow="1" summaryRight="1"/>
    <pageSetUpPr/>
  </sheetPr>
  <dimension ref="A1:C41"/>
  <sheetViews>
    <sheetView zoomScale="100"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60" customWidth="1" min="3" max="3"/>
  </cols>
  <sheetData>
    <row r="1">
      <c r="A1" s="1" t="inlineStr">
        <is>
          <t>Resumo da ficha</t>
        </is>
      </c>
    </row>
    <row r="2">
      <c r="A2" s="7" t="inlineStr">
        <is>
          <t>Tudo nesta aba é calculado; não digite aqui.</t>
        </is>
      </c>
    </row>
    <row r="4">
      <c r="A4" s="8" t="inlineStr">
        <is>
          <t>Situação geral</t>
        </is>
      </c>
      <c r="B4" s="9" t="n"/>
      <c r="C4" s="9" t="n"/>
    </row>
    <row r="5">
      <c r="A5" s="10" t="inlineStr">
        <is>
          <t>Semáforo geral</t>
        </is>
      </c>
      <c r="B5" s="11">
        <f>IF(B34&gt;0,"VERMELHO",IF(OR(B35&gt;0,B13&gt;0,B30&gt;0),"AMARELO","VERDE"))</f>
        <v/>
      </c>
      <c r="C5" s="6" t="inlineStr">
        <is>
          <t>VERMELHO: há item crítico da autovistoria com risco ou '?'. AMARELO: há pendência (vistoria, manutenção vencida, item não crítico). VERDE: sem pendências. Não substitui parecer técnico.</t>
        </is>
      </c>
    </row>
    <row r="7">
      <c r="A7" s="8" t="inlineStr">
        <is>
          <t>Catálogo (o que existe no prédio)</t>
        </is>
      </c>
      <c r="B7" s="9" t="n"/>
      <c r="C7" s="9" t="n"/>
    </row>
    <row r="8">
      <c r="A8" s="10" t="inlineStr">
        <is>
          <t>Itens no catálogo</t>
        </is>
      </c>
      <c r="B8" s="11">
        <f>COUNTA(Catalogo!$A$2:$A$196)</f>
        <v/>
      </c>
    </row>
    <row r="9">
      <c r="A9" s="10" t="inlineStr">
        <is>
          <t>Existem (S)</t>
        </is>
      </c>
      <c r="B9" s="11">
        <f>COUNTIF(Catalogo!$H$2:$H$196,"S")</f>
        <v/>
      </c>
    </row>
    <row r="10">
      <c r="A10" s="10" t="inlineStr">
        <is>
          <t>Não existem (N)</t>
        </is>
      </c>
      <c r="B10" s="11">
        <f>COUNTIF(Catalogo!$H$2:$H$196,"N")</f>
        <v/>
      </c>
    </row>
    <row r="11">
      <c r="A11" s="10" t="inlineStr">
        <is>
          <t>Não sei (?)</t>
        </is>
      </c>
      <c r="B11" s="11">
        <f>COUNTIF(Catalogo!$H$2:$H$196,"~?")</f>
        <v/>
      </c>
      <c r="C11" s="6" t="inlineStr">
        <is>
          <t>Vale como pior caso: tratar como sem proteção</t>
        </is>
      </c>
    </row>
    <row r="12">
      <c r="A12" s="10" t="inlineStr">
        <is>
          <t>Em branco (não preenchidos)</t>
        </is>
      </c>
      <c r="B12" s="11">
        <f>COUNTBLANK(Catalogo!$H$2:$H$196)</f>
        <v/>
      </c>
    </row>
    <row r="13">
      <c r="A13" s="10" t="inlineStr">
        <is>
          <t>Pendências de vistoria (? + em branco)</t>
        </is>
      </c>
      <c r="B13" s="11">
        <f>B11+B12</f>
        <v/>
      </c>
    </row>
    <row r="14">
      <c r="A14" s="10" t="inlineStr">
        <is>
          <t>% preenchido (S + N + ?)</t>
        </is>
      </c>
      <c r="B14" s="12">
        <f>IF(B8=0,0,(B9+B10+B11)/B8)</f>
        <v/>
      </c>
    </row>
    <row r="16">
      <c r="A16" s="8" t="inlineStr">
        <is>
          <t>Matriz sistema × cenário (itens aplicáveis)</t>
        </is>
      </c>
      <c r="B16" s="9" t="n"/>
      <c r="C16" s="9" t="n"/>
    </row>
    <row r="17">
      <c r="A17" s="10" t="inlineStr">
        <is>
          <t>1 Contaminação cruzada</t>
        </is>
      </c>
      <c r="B17" s="11">
        <f>COUNTIF(Matriz!D$2:D$196,"●")</f>
        <v/>
      </c>
    </row>
    <row r="18">
      <c r="A18" s="10" t="inlineStr">
        <is>
          <t>2 Falta de água</t>
        </is>
      </c>
      <c r="B18" s="11">
        <f>COUNTIF(Matriz!E$2:E$196,"●")</f>
        <v/>
      </c>
    </row>
    <row r="19">
      <c r="A19" s="10" t="inlineStr">
        <is>
          <t>3 Água fora do padrão</t>
        </is>
      </c>
      <c r="B19" s="11">
        <f>COUNTIF(Matriz!F$2:F$196,"●")</f>
        <v/>
      </c>
    </row>
    <row r="20">
      <c r="A20" s="10" t="inlineStr">
        <is>
          <t>4 Vazamento e alagamento</t>
        </is>
      </c>
      <c r="B20" s="11">
        <f>COUNTIF(Matriz!G$2:G$196,"●")</f>
        <v/>
      </c>
    </row>
    <row r="21">
      <c r="A21" s="10" t="inlineStr">
        <is>
          <t>5 Falha de bomba ou energia</t>
        </is>
      </c>
      <c r="B21" s="11">
        <f>COUNTIF(Matriz!H$2:H$196,"●")</f>
        <v/>
      </c>
    </row>
    <row r="22">
      <c r="A22" s="10" t="inlineStr">
        <is>
          <t>6 Incêndio</t>
        </is>
      </c>
      <c r="B22" s="11">
        <f>COUNTIF(Matriz!I$2:I$196,"●")</f>
        <v/>
      </c>
    </row>
    <row r="23">
      <c r="A23" s="10" t="inlineStr">
        <is>
          <t>7 Refluxo de esgoto</t>
        </is>
      </c>
      <c r="B23" s="11">
        <f>COUNTIF(Matriz!J$2:J$196,"●")</f>
        <v/>
      </c>
    </row>
    <row r="24">
      <c r="A24" s="10" t="inlineStr">
        <is>
          <t>8 Tratamento químico</t>
        </is>
      </c>
      <c r="B24" s="11">
        <f>COUNTIF(Matriz!K$2:K$196,"●")</f>
        <v/>
      </c>
    </row>
    <row r="25">
      <c r="A25" s="10" t="inlineStr">
        <is>
          <t>9 Contaminação do reservatório</t>
        </is>
      </c>
      <c r="B25" s="11">
        <f>COUNTIF(Matriz!L$2:L$196,"●")</f>
        <v/>
      </c>
    </row>
    <row r="26">
      <c r="A26" s="10" t="inlineStr">
        <is>
          <t>T Comunicação de crise</t>
        </is>
      </c>
      <c r="B26" s="11">
        <f>COUNTIF(Matriz!M$2:M$196,"●")</f>
        <v/>
      </c>
    </row>
    <row r="28">
      <c r="A28" s="8" t="inlineStr">
        <is>
          <t>Manutenção por família</t>
        </is>
      </c>
      <c r="B28" s="9" t="n"/>
      <c r="C28" s="9" t="n"/>
    </row>
    <row r="29">
      <c r="A29" s="10" t="inlineStr">
        <is>
          <t>Famílias em dia</t>
        </is>
      </c>
      <c r="B29" s="11">
        <f>COUNTIF(Manutencao!$K$2:$K$17,"Em dia")</f>
        <v/>
      </c>
    </row>
    <row r="30">
      <c r="A30" s="10" t="inlineStr">
        <is>
          <t>Famílias VENCIDAS</t>
        </is>
      </c>
      <c r="B30" s="11">
        <f>COUNTIF(Manutencao!$K$2:$K$17,"VENCIDO")</f>
        <v/>
      </c>
    </row>
    <row r="31">
      <c r="A31" s="10" t="inlineStr">
        <is>
          <t>Famílias sem registro</t>
        </is>
      </c>
      <c r="B31" s="11">
        <f>COUNTIF(Manutencao!$K$2:$K$17,"Sem registro")</f>
        <v/>
      </c>
    </row>
    <row r="33">
      <c r="A33" s="8" t="inlineStr">
        <is>
          <t>Autovistoria</t>
        </is>
      </c>
      <c r="B33" s="9" t="n"/>
      <c r="C33" s="9" t="n"/>
    </row>
    <row r="34">
      <c r="A34" s="10" t="inlineStr">
        <is>
          <t>Itens VERMELHOS</t>
        </is>
      </c>
      <c r="B34" s="11">
        <f>COUNTIF(Autovistoria!$I$7:$I$48,"VERMELHO")</f>
        <v/>
      </c>
      <c r="C34" s="6" t="inlineStr">
        <is>
          <t>Escalar ao síndico agora</t>
        </is>
      </c>
    </row>
    <row r="35">
      <c r="A35" s="10" t="inlineStr">
        <is>
          <t>Itens AMARELOS</t>
        </is>
      </c>
      <c r="B35" s="11">
        <f>COUNTIF(Autovistoria!$I$7:$I$48,"AMARELO")</f>
        <v/>
      </c>
    </row>
    <row r="36">
      <c r="A36" s="10" t="inlineStr">
        <is>
          <t>Itens OK</t>
        </is>
      </c>
      <c r="B36" s="11">
        <f>COUNTIF(Autovistoria!$I$7:$I$48,"OK")</f>
        <v/>
      </c>
    </row>
    <row r="37">
      <c r="A37" s="10" t="inlineStr">
        <is>
          <t>Itens pendentes (sem resposta)</t>
        </is>
      </c>
      <c r="B37" s="11">
        <f>COUNTIF(Autovistoria!$I$7:$I$48,"Pendente")</f>
        <v/>
      </c>
    </row>
    <row r="39">
      <c r="A39" s="8" t="inlineStr">
        <is>
          <t>Incidentes</t>
        </is>
      </c>
      <c r="B39" s="9" t="n"/>
      <c r="C39" s="9" t="n"/>
    </row>
    <row r="40">
      <c r="A40" s="10" t="inlineStr">
        <is>
          <t>Incidentes registrados</t>
        </is>
      </c>
      <c r="B40" s="11">
        <f>COUNT(Incidentes!$B$2:$B$41)</f>
        <v/>
      </c>
    </row>
    <row r="41">
      <c r="A41" s="10" t="inlineStr">
        <is>
          <t>Incidentes não encerrados</t>
        </is>
      </c>
      <c r="B41" s="11">
        <f>SUMPRODUCT((Incidentes!$B$2:$B$41&lt;&gt;"")*(Incidentes!$S$2:$S$41&lt;&gt;"Encerrado"))</f>
        <v/>
      </c>
    </row>
  </sheetData>
  <conditionalFormatting sqref="B5">
    <cfRule type="expression" priority="1" dxfId="0">
      <formula>ISNUMBER(SEARCH("VERMELHO",B5))</formula>
    </cfRule>
    <cfRule type="expression" priority="2" dxfId="1">
      <formula>ISNUMBER(SEARCH("AMARELO",B5))</formula>
    </cfRule>
    <cfRule type="expression" priority="3" dxfId="0">
      <formula>ISNUMBER(SEARCH("VENCIDO",B5))</formula>
    </cfRule>
    <cfRule type="expression" priority="4" dxfId="2">
      <formula>B5="OK"</formula>
    </cfRule>
    <cfRule type="expression" priority="5" dxfId="2">
      <formula>B5="Em dia"</formula>
    </cfRule>
    <cfRule type="expression" priority="6" dxfId="2">
      <formula>B5="VERDE"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2A44"/>
    <outlinePr summaryBelow="1" summaryRight="1"/>
    <pageSetUpPr/>
  </sheetPr>
  <dimension ref="A1:B31"/>
  <sheetViews>
    <sheetView zoomScale="100" workbookViewId="0">
      <selection activeCell="A1" sqref="A1"/>
    </sheetView>
  </sheetViews>
  <sheetFormatPr baseColWidth="8" defaultRowHeight="15"/>
  <cols>
    <col width="62" customWidth="1" min="1" max="1"/>
    <col width="60" customWidth="1" min="2" max="2"/>
  </cols>
  <sheetData>
    <row r="1">
      <c r="A1" s="1" t="inlineStr">
        <is>
          <t>Ficha do condomínio</t>
        </is>
      </c>
    </row>
    <row r="2">
      <c r="A2" s="7" t="inlineStr">
        <is>
          <t>Faça uma cópia desta planilha por condomínio e salve no OneDrive. Nunca no GitHub.</t>
        </is>
      </c>
    </row>
    <row r="4">
      <c r="A4" s="8" t="inlineStr">
        <is>
          <t>Identificação</t>
        </is>
      </c>
      <c r="B4" s="9" t="n"/>
    </row>
    <row r="5">
      <c r="A5" s="3" t="inlineStr">
        <is>
          <t>Nome do condomínio</t>
        </is>
      </c>
      <c r="B5" s="13" t="n"/>
    </row>
    <row r="6">
      <c r="A6" s="3" t="inlineStr">
        <is>
          <t>Administradora</t>
        </is>
      </c>
      <c r="B6" s="13" t="n"/>
    </row>
    <row r="7">
      <c r="A7" s="3" t="inlineStr">
        <is>
          <t>Tipo (escritório / loja / logístico / misto)</t>
        </is>
      </c>
      <c r="B7" s="13" t="n"/>
    </row>
    <row r="8">
      <c r="A8" s="3" t="inlineStr">
        <is>
          <t>Cidade / UF</t>
        </is>
      </c>
      <c r="B8" s="13" t="n"/>
    </row>
    <row r="9">
      <c r="A9" s="3" t="inlineStr">
        <is>
          <t>Nº de pavimentos</t>
        </is>
      </c>
      <c r="B9" s="13" t="n"/>
    </row>
    <row r="10">
      <c r="A10" s="3" t="inlineStr">
        <is>
          <t>Responsável pela ficha</t>
        </is>
      </c>
      <c r="B10" s="13" t="n"/>
    </row>
    <row r="11">
      <c r="A11" s="3" t="inlineStr">
        <is>
          <t>Data do primeiro preenchimento</t>
        </is>
      </c>
      <c r="B11" s="14" t="n"/>
    </row>
    <row r="12">
      <c r="A12" s="3" t="inlineStr">
        <is>
          <t>Data da última revisão</t>
        </is>
      </c>
      <c r="B12" s="14" t="n"/>
    </row>
    <row r="13">
      <c r="A13" s="8" t="inlineStr">
        <is>
          <t>Abastecimento e energia</t>
        </is>
      </c>
      <c r="B13" s="9" t="n"/>
    </row>
    <row r="14">
      <c r="A14" s="3" t="inlineStr">
        <is>
          <t>Abastecimento (concessionária direta / cisterna / poço / misto)</t>
        </is>
      </c>
      <c r="B14" s="13" t="n"/>
    </row>
    <row r="15">
      <c r="A15" s="3" t="inlineStr">
        <is>
          <t>Capacidade dos reservatórios (litros, inferior e superior)</t>
        </is>
      </c>
      <c r="B15" s="13" t="n"/>
    </row>
    <row r="16">
      <c r="A16" s="3" t="inlineStr">
        <is>
          <t>Autonomia de água em horas (informar de onde veio o número)</t>
        </is>
      </c>
      <c r="B16" s="13" t="n"/>
    </row>
    <row r="17">
      <c r="A17" s="3" t="inlineStr">
        <is>
          <t>Gerador atende recalque e incêndio? (S / N / ?)</t>
        </is>
      </c>
      <c r="B17" s="13" t="n"/>
    </row>
    <row r="18">
      <c r="A18" s="3" t="inlineStr">
        <is>
          <t>Autonomia de combustível do gerador (horas, fonte)</t>
        </is>
      </c>
      <c r="B18" s="13" t="n"/>
    </row>
    <row r="19">
      <c r="A19" s="3" t="inlineStr">
        <is>
          <t>Tem BMS ou supervisório com alarme? (S / N / ?)</t>
        </is>
      </c>
      <c r="B19" s="13" t="n"/>
    </row>
    <row r="20">
      <c r="A20" s="8" t="inlineStr">
        <is>
          <t>Traçadores (cores)</t>
        </is>
      </c>
      <c r="B20" s="9" t="n"/>
    </row>
    <row r="21">
      <c r="A21" s="3" t="inlineStr">
        <is>
          <t>Cor do traçador da água gelada / tratamento químico</t>
        </is>
      </c>
      <c r="B21" s="13" t="n"/>
    </row>
    <row r="22">
      <c r="A22" s="3" t="inlineStr">
        <is>
          <t>Cor do traçador do reúso</t>
        </is>
      </c>
      <c r="B22" s="13" t="n"/>
    </row>
    <row r="23">
      <c r="A23" s="3" t="inlineStr">
        <is>
          <t>Outros traçadores (incêndio, água quente)</t>
        </is>
      </c>
      <c r="B23" s="13" t="n"/>
    </row>
    <row r="24">
      <c r="A24" s="3" t="inlineStr">
        <is>
          <t>Local da torneira sentinela</t>
        </is>
      </c>
      <c r="B24" s="13" t="n"/>
    </row>
    <row r="25">
      <c r="A25" s="8" t="inlineStr">
        <is>
          <t>Documentos e locais</t>
        </is>
      </c>
      <c r="B25" s="9" t="n"/>
    </row>
    <row r="26">
      <c r="A26" s="3" t="inlineStr">
        <is>
          <t>Mapa de registros e válvulas (onde está)</t>
        </is>
      </c>
      <c r="B26" s="13" t="n"/>
    </row>
    <row r="27">
      <c r="A27" s="3" t="inlineStr">
        <is>
          <t>Projeto as-built / memoriais (onde estão)</t>
        </is>
      </c>
      <c r="B27" s="13" t="n"/>
    </row>
    <row r="28">
      <c r="A28" s="3" t="inlineStr">
        <is>
          <t>Mapeamento pós-incidente (onde está, data)</t>
        </is>
      </c>
      <c r="B28" s="13" t="n"/>
    </row>
    <row r="29">
      <c r="A29" s="3" t="inlineStr">
        <is>
          <t>PMOC (responsável e onde está)</t>
        </is>
      </c>
      <c r="B29" s="13" t="n"/>
    </row>
    <row r="30">
      <c r="A30" s="3" t="inlineStr">
        <is>
          <t>Último laudo de potabilidade (data)</t>
        </is>
      </c>
      <c r="B30" s="13" t="n"/>
    </row>
    <row r="31">
      <c r="A31" s="3" t="inlineStr">
        <is>
          <t>Última limpeza de reservatório (data)</t>
        </is>
      </c>
      <c r="B31" s="13" t="n"/>
    </row>
  </sheetData>
  <dataValidations count="2">
    <dataValidation sqref="B17" showDropDown="0" showInputMessage="0" showErrorMessage="0" allowBlank="1" type="list">
      <formula1>"S,N,?"</formula1>
    </dataValidation>
    <dataValidation sqref="B19" showDropDown="0" showInputMessage="0" showErrorMessage="0" allowBlank="1" type="list">
      <formula1>"S,N,?"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2A44"/>
    <outlinePr summaryBelow="1" summaryRight="1"/>
    <pageSetUpPr/>
  </sheetPr>
  <dimension ref="A1:F4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34" customWidth="1" min="3" max="3"/>
    <col width="22" customWidth="1" min="4" max="4"/>
    <col width="30" customWidth="1" min="5" max="5"/>
    <col width="40" customWidth="1" min="6" max="6"/>
  </cols>
  <sheetData>
    <row r="1" ht="32" customHeight="1">
      <c r="A1" s="15" t="inlineStr">
        <is>
          <t>Função</t>
        </is>
      </c>
      <c r="B1" s="15" t="inlineStr">
        <is>
          <t>Nível de escalonamento</t>
        </is>
      </c>
      <c r="C1" s="15" t="inlineStr">
        <is>
          <t>Nome / empresa</t>
        </is>
      </c>
      <c r="D1" s="15" t="inlineStr">
        <is>
          <t>Telefone (24h)</t>
        </is>
      </c>
      <c r="E1" s="15" t="inlineStr">
        <is>
          <t>E-mail</t>
        </is>
      </c>
      <c r="F1" s="15" t="inlineStr">
        <is>
          <t>Observação</t>
        </is>
      </c>
    </row>
    <row r="2">
      <c r="A2" s="2" t="inlineStr">
        <is>
          <t>Operador de ronda</t>
        </is>
      </c>
      <c r="B2" s="16" t="inlineStr">
        <is>
          <t>—</t>
        </is>
      </c>
      <c r="C2" s="13" t="n"/>
      <c r="D2" s="13" t="n"/>
      <c r="E2" s="13" t="n"/>
      <c r="F2" s="13" t="n"/>
    </row>
    <row r="3">
      <c r="A3" s="2" t="inlineStr">
        <is>
          <t>Responsável da manutenção residente</t>
        </is>
      </c>
      <c r="B3" s="16" t="inlineStr">
        <is>
          <t>1</t>
        </is>
      </c>
      <c r="C3" s="13" t="n"/>
      <c r="D3" s="13" t="n"/>
      <c r="E3" s="13" t="n"/>
      <c r="F3" s="13" t="n"/>
    </row>
    <row r="4">
      <c r="A4" s="2" t="inlineStr">
        <is>
          <t>Gestão predial / administradora</t>
        </is>
      </c>
      <c r="B4" s="16" t="inlineStr">
        <is>
          <t>2</t>
        </is>
      </c>
      <c r="C4" s="13" t="n"/>
      <c r="D4" s="13" t="n"/>
      <c r="E4" s="13" t="n"/>
      <c r="F4" s="13" t="n"/>
    </row>
    <row r="5">
      <c r="A5" s="2" t="inlineStr">
        <is>
          <t>Síndico</t>
        </is>
      </c>
      <c r="B5" s="16" t="inlineStr">
        <is>
          <t>3</t>
        </is>
      </c>
      <c r="C5" s="13" t="n"/>
      <c r="D5" s="13" t="n"/>
      <c r="E5" s="13" t="n"/>
      <c r="F5" s="13" t="n"/>
    </row>
    <row r="6">
      <c r="A6" s="2" t="inlineStr">
        <is>
          <t>Fornecedor de tratamento químico (torre, chiller)</t>
        </is>
      </c>
      <c r="B6" s="16" t="inlineStr">
        <is>
          <t>Fornecedor</t>
        </is>
      </c>
      <c r="C6" s="13" t="n"/>
      <c r="D6" s="13" t="n"/>
      <c r="E6" s="13" t="n"/>
      <c r="F6" s="13" t="n"/>
    </row>
    <row r="7">
      <c r="A7" s="2" t="inlineStr">
        <is>
          <t>Fornecedor de hidráulica</t>
        </is>
      </c>
      <c r="B7" s="16" t="inlineStr">
        <is>
          <t>Fornecedor</t>
        </is>
      </c>
      <c r="C7" s="13" t="n"/>
      <c r="D7" s="13" t="n"/>
      <c r="E7" s="13" t="n"/>
      <c r="F7" s="13" t="n"/>
    </row>
    <row r="8">
      <c r="A8" s="2" t="inlineStr">
        <is>
          <t>Fornecedor de ar-condicionado / chiller</t>
        </is>
      </c>
      <c r="B8" s="16" t="inlineStr">
        <is>
          <t>Fornecedor</t>
        </is>
      </c>
      <c r="C8" s="13" t="n"/>
      <c r="D8" s="13" t="n"/>
      <c r="E8" s="13" t="n"/>
      <c r="F8" s="13" t="n"/>
    </row>
    <row r="9">
      <c r="A9" s="2" t="inlineStr">
        <is>
          <t>Fornecedor de bombas e gerador</t>
        </is>
      </c>
      <c r="B9" s="16" t="inlineStr">
        <is>
          <t>Fornecedor</t>
        </is>
      </c>
      <c r="C9" s="13" t="n"/>
      <c r="D9" s="13" t="n"/>
      <c r="E9" s="13" t="n"/>
      <c r="F9" s="13" t="n"/>
    </row>
    <row r="10">
      <c r="A10" s="2" t="inlineStr">
        <is>
          <t>Fornecedor de proteção contra incêndio</t>
        </is>
      </c>
      <c r="B10" s="16" t="inlineStr">
        <is>
          <t>Fornecedor</t>
        </is>
      </c>
      <c r="C10" s="13" t="n"/>
      <c r="D10" s="13" t="n"/>
      <c r="E10" s="13" t="n"/>
      <c r="F10" s="13" t="n"/>
    </row>
    <row r="11">
      <c r="A11" s="2" t="inlineStr">
        <is>
          <t>Consultor especialista (contratado caso a caso)</t>
        </is>
      </c>
      <c r="B11" s="16" t="inlineStr">
        <is>
          <t>Consultor</t>
        </is>
      </c>
      <c r="C11" s="13" t="n"/>
      <c r="D11" s="13" t="n"/>
      <c r="E11" s="13" t="n"/>
      <c r="F11" s="13" t="n"/>
    </row>
    <row r="12">
      <c r="A12" s="2" t="inlineStr">
        <is>
          <t>Laboratório de análise de água</t>
        </is>
      </c>
      <c r="B12" s="16" t="inlineStr">
        <is>
          <t>Externo</t>
        </is>
      </c>
      <c r="C12" s="13" t="n"/>
      <c r="D12" s="13" t="n"/>
      <c r="E12" s="13" t="n"/>
      <c r="F12" s="13" t="n"/>
    </row>
    <row r="13">
      <c r="A13" s="2" t="inlineStr">
        <is>
          <t>Caminhão-pipa pré-qualificado</t>
        </is>
      </c>
      <c r="B13" s="16" t="inlineStr">
        <is>
          <t>Externo</t>
        </is>
      </c>
      <c r="C13" s="13" t="n"/>
      <c r="D13" s="13" t="n"/>
      <c r="E13" s="13" t="n"/>
      <c r="F13" s="13" t="n"/>
    </row>
    <row r="14">
      <c r="A14" s="2" t="inlineStr">
        <is>
          <t>Concessionária de água (central de emergência)</t>
        </is>
      </c>
      <c r="B14" s="16" t="inlineStr">
        <is>
          <t>Externo</t>
        </is>
      </c>
      <c r="C14" s="13" t="n"/>
      <c r="D14" s="13" t="n"/>
      <c r="E14" s="13" t="n"/>
      <c r="F14" s="13" t="n"/>
    </row>
    <row r="15">
      <c r="A15" s="2" t="inlineStr">
        <is>
          <t>Vigilância sanitária local</t>
        </is>
      </c>
      <c r="B15" s="16" t="inlineStr">
        <is>
          <t>Externo</t>
        </is>
      </c>
      <c r="C15" s="13" t="n"/>
      <c r="D15" s="13" t="n"/>
      <c r="E15" s="13" t="n"/>
      <c r="F15" s="13" t="n"/>
    </row>
    <row r="16">
      <c r="A16" s="2" t="inlineStr">
        <is>
          <t>SAMU</t>
        </is>
      </c>
      <c r="B16" s="16" t="inlineStr">
        <is>
          <t>Externo</t>
        </is>
      </c>
      <c r="C16" s="13" t="n"/>
      <c r="D16" s="13" t="inlineStr">
        <is>
          <t>192</t>
        </is>
      </c>
      <c r="E16" s="13" t="n"/>
      <c r="F16" s="13" t="n"/>
    </row>
    <row r="17">
      <c r="A17" s="2" t="inlineStr">
        <is>
          <t>Corpo de Bombeiros</t>
        </is>
      </c>
      <c r="B17" s="16" t="inlineStr">
        <is>
          <t>Externo</t>
        </is>
      </c>
      <c r="C17" s="13" t="n"/>
      <c r="D17" s="13" t="inlineStr">
        <is>
          <t>193</t>
        </is>
      </c>
      <c r="E17" s="13" t="n"/>
      <c r="F17" s="13" t="n"/>
    </row>
    <row r="18">
      <c r="A18" s="2" t="inlineStr">
        <is>
          <t>Disque-Intoxicação (confirmar número vigente)</t>
        </is>
      </c>
      <c r="B18" s="16" t="inlineStr">
        <is>
          <t>Externo</t>
        </is>
      </c>
      <c r="C18" s="13" t="n"/>
      <c r="D18" s="13" t="n"/>
      <c r="E18" s="13" t="n"/>
      <c r="F18" s="13" t="inlineStr">
        <is>
          <t>Anvisa: 0800 722 6001 — conferir se continua vigente antes de usar</t>
        </is>
      </c>
    </row>
    <row r="19">
      <c r="A19" s="17" t="n"/>
      <c r="B19" s="17" t="n"/>
      <c r="C19" s="13" t="n"/>
      <c r="D19" s="13" t="n"/>
      <c r="E19" s="13" t="n"/>
      <c r="F19" s="13" t="n"/>
    </row>
    <row r="20">
      <c r="A20" s="17" t="n"/>
      <c r="B20" s="17" t="n"/>
      <c r="C20" s="13" t="n"/>
      <c r="D20" s="13" t="n"/>
      <c r="E20" s="13" t="n"/>
      <c r="F20" s="13" t="n"/>
    </row>
    <row r="21">
      <c r="A21" s="17" t="n"/>
      <c r="B21" s="17" t="n"/>
      <c r="C21" s="13" t="n"/>
      <c r="D21" s="13" t="n"/>
      <c r="E21" s="13" t="n"/>
      <c r="F21" s="13" t="n"/>
    </row>
    <row r="22">
      <c r="A22" s="17" t="n"/>
      <c r="B22" s="17" t="n"/>
      <c r="C22" s="13" t="n"/>
      <c r="D22" s="13" t="n"/>
      <c r="E22" s="13" t="n"/>
      <c r="F22" s="13" t="n"/>
    </row>
    <row r="23">
      <c r="A23" s="17" t="n"/>
      <c r="B23" s="17" t="n"/>
      <c r="C23" s="13" t="n"/>
      <c r="D23" s="13" t="n"/>
      <c r="E23" s="13" t="n"/>
      <c r="F23" s="13" t="n"/>
    </row>
    <row r="24">
      <c r="A24" s="17" t="n"/>
      <c r="B24" s="17" t="n"/>
      <c r="C24" s="13" t="n"/>
      <c r="D24" s="13" t="n"/>
      <c r="E24" s="13" t="n"/>
      <c r="F24" s="13" t="n"/>
    </row>
    <row r="25">
      <c r="A25" s="17" t="n"/>
      <c r="B25" s="17" t="n"/>
      <c r="C25" s="13" t="n"/>
      <c r="D25" s="13" t="n"/>
      <c r="E25" s="13" t="n"/>
      <c r="F25" s="13" t="n"/>
    </row>
    <row r="26">
      <c r="A26" s="17" t="n"/>
      <c r="B26" s="17" t="n"/>
      <c r="C26" s="13" t="n"/>
      <c r="D26" s="13" t="n"/>
      <c r="E26" s="13" t="n"/>
      <c r="F26" s="13" t="n"/>
    </row>
    <row r="27">
      <c r="A27" s="17" t="n"/>
      <c r="B27" s="17" t="n"/>
      <c r="C27" s="13" t="n"/>
      <c r="D27" s="13" t="n"/>
      <c r="E27" s="13" t="n"/>
      <c r="F27" s="13" t="n"/>
    </row>
    <row r="28">
      <c r="A28" s="17" t="n"/>
      <c r="B28" s="17" t="n"/>
      <c r="C28" s="13" t="n"/>
      <c r="D28" s="13" t="n"/>
      <c r="E28" s="13" t="n"/>
      <c r="F28" s="13" t="n"/>
    </row>
    <row r="29">
      <c r="A29" s="17" t="n"/>
      <c r="B29" s="17" t="n"/>
      <c r="C29" s="13" t="n"/>
      <c r="D29" s="13" t="n"/>
      <c r="E29" s="13" t="n"/>
      <c r="F29" s="13" t="n"/>
    </row>
    <row r="30">
      <c r="A30" s="17" t="n"/>
      <c r="B30" s="17" t="n"/>
      <c r="C30" s="13" t="n"/>
      <c r="D30" s="13" t="n"/>
      <c r="E30" s="13" t="n"/>
      <c r="F30" s="13" t="n"/>
    </row>
    <row r="31">
      <c r="A31" s="17" t="n"/>
      <c r="B31" s="17" t="n"/>
      <c r="C31" s="13" t="n"/>
      <c r="D31" s="13" t="n"/>
      <c r="E31" s="13" t="n"/>
      <c r="F31" s="13" t="n"/>
    </row>
    <row r="32">
      <c r="A32" s="17" t="n"/>
      <c r="B32" s="17" t="n"/>
      <c r="C32" s="13" t="n"/>
      <c r="D32" s="13" t="n"/>
      <c r="E32" s="13" t="n"/>
      <c r="F32" s="13" t="n"/>
    </row>
    <row r="33">
      <c r="A33" s="17" t="n"/>
      <c r="B33" s="17" t="n"/>
      <c r="C33" s="13" t="n"/>
      <c r="D33" s="13" t="n"/>
      <c r="E33" s="13" t="n"/>
      <c r="F33" s="13" t="n"/>
    </row>
    <row r="34">
      <c r="A34" s="17" t="n"/>
      <c r="B34" s="17" t="n"/>
      <c r="C34" s="13" t="n"/>
      <c r="D34" s="13" t="n"/>
      <c r="E34" s="13" t="n"/>
      <c r="F34" s="13" t="n"/>
    </row>
    <row r="35">
      <c r="A35" s="17" t="n"/>
      <c r="B35" s="17" t="n"/>
      <c r="C35" s="13" t="n"/>
      <c r="D35" s="13" t="n"/>
      <c r="E35" s="13" t="n"/>
      <c r="F35" s="13" t="n"/>
    </row>
    <row r="36">
      <c r="A36" s="17" t="n"/>
      <c r="B36" s="17" t="n"/>
      <c r="C36" s="13" t="n"/>
      <c r="D36" s="13" t="n"/>
      <c r="E36" s="13" t="n"/>
      <c r="F36" s="13" t="n"/>
    </row>
    <row r="37">
      <c r="A37" s="17" t="n"/>
      <c r="B37" s="17" t="n"/>
      <c r="C37" s="13" t="n"/>
      <c r="D37" s="13" t="n"/>
      <c r="E37" s="13" t="n"/>
      <c r="F37" s="13" t="n"/>
    </row>
    <row r="40">
      <c r="A40" s="7" t="inlineStr">
        <is>
          <t>Telefones pessoais ficam só nesta ficha (OneDrive), nunca no GitHub. Linhas em branco abaixo da lista são para fornecedores adicionais.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2A44"/>
    <outlinePr summaryBelow="1" summaryRight="1"/>
    <pageSetUpPr/>
  </sheetPr>
  <dimension ref="A1:O196"/>
  <sheetViews>
    <sheetView zoomScale="10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42" customWidth="1" min="4" max="4"/>
    <col width="50" customWidth="1" min="5" max="5"/>
    <col width="10" customWidth="1" min="6" max="6"/>
    <col width="22" customWidth="1" min="7" max="7"/>
    <col width="14" customWidth="1" min="8" max="8"/>
    <col width="30" customWidth="1" min="9" max="9"/>
    <col width="22" customWidth="1" min="10" max="10"/>
    <col width="14" customWidth="1" min="11" max="11"/>
    <col width="24" customWidth="1" min="12" max="12"/>
    <col width="26" customWidth="1" min="13" max="13"/>
    <col width="14" customWidth="1" min="14" max="14"/>
    <col width="9" customWidth="1" min="15" max="15"/>
  </cols>
  <sheetData>
    <row r="1" ht="32" customHeight="1">
      <c r="A1" s="15" t="inlineStr">
        <is>
          <t>ID</t>
        </is>
      </c>
      <c r="B1" s="15" t="inlineStr">
        <is>
          <t>Grupo</t>
        </is>
      </c>
      <c r="C1" s="15" t="inlineStr">
        <is>
          <t>Sistema</t>
        </is>
      </c>
      <c r="D1" s="15" t="inlineStr">
        <is>
          <t>O que é / onde está</t>
        </is>
      </c>
      <c r="E1" s="15" t="inlineStr">
        <is>
          <t>Como falha ou contamina</t>
        </is>
      </c>
      <c r="F1" s="15" t="inlineStr">
        <is>
          <t>Cenários</t>
        </is>
      </c>
      <c r="G1" s="15" t="inlineStr">
        <is>
          <t>Ref.</t>
        </is>
      </c>
      <c r="H1" s="15" t="inlineStr">
        <is>
          <t>Existe no prédio? (S / N / ?)</t>
        </is>
      </c>
      <c r="I1" s="15" t="inlineStr">
        <is>
          <t>Local / observação</t>
        </is>
      </c>
      <c r="J1" s="15" t="inlineStr">
        <is>
          <t>Foto ou documento</t>
        </is>
      </c>
      <c r="K1" s="15" t="inlineStr">
        <is>
          <t>Data da conferência</t>
        </is>
      </c>
      <c r="L1" s="15" t="inlineStr">
        <is>
          <t>Quem informou / fonte</t>
        </is>
      </c>
      <c r="M1" s="15" t="inlineStr">
        <is>
          <t>Tratar como</t>
        </is>
      </c>
      <c r="N1" s="15" t="inlineStr">
        <is>
          <t>Vistoria</t>
        </is>
      </c>
      <c r="O1" s="15" t="inlineStr">
        <is>
          <t>Família</t>
        </is>
      </c>
    </row>
    <row r="2">
      <c r="A2" s="17" t="inlineStr">
        <is>
          <t>A1</t>
        </is>
      </c>
      <c r="B2" s="17" t="inlineStr">
        <is>
          <t>A. Água potável</t>
        </is>
      </c>
      <c r="C2" s="17" t="inlineStr">
        <is>
          <t>Ligação da concessionária</t>
        </is>
      </c>
      <c r="D2" s="17" t="inlineStr">
        <is>
          <t>Ramal, cavalete, hidrômetro geral, registros e válvulas na entrada. Pode haver mais de um ramal</t>
        </is>
      </c>
      <c r="E2" s="17" t="inlineStr">
        <is>
          <t>Rompimento; falta de água (que gera retrossifonagem); hidrômetro parado; ramal sem retenção quando o prédio abastece direto, sem reservatório</t>
        </is>
      </c>
      <c r="F2" s="17" t="inlineStr">
        <is>
          <t>1,2,4</t>
        </is>
      </c>
      <c r="G2" s="17" t="inlineStr">
        <is>
          <t>✔ NBR 5626:2020</t>
        </is>
      </c>
      <c r="H2" s="18" t="n"/>
      <c r="I2" s="13" t="n"/>
      <c r="J2" s="13" t="n"/>
      <c r="K2" s="14" t="n"/>
      <c r="L2" s="13" t="n"/>
      <c r="M2" s="17">
        <f>IF(H2="S","Existe",IF(H2="N","Não existe",IF(H2="?","PIOR CASO: tratar como sem proteção","Não preenchido")))</f>
        <v/>
      </c>
      <c r="N2" s="17">
        <f>IF(H2="?","VISTORIAR",IF(H2="","A PREENCHER",""))</f>
        <v/>
      </c>
      <c r="O2" s="17" t="n">
        <v>3</v>
      </c>
    </row>
    <row r="3">
      <c r="A3" s="17" t="inlineStr">
        <is>
          <t>A2</t>
        </is>
      </c>
      <c r="B3" s="17" t="inlineStr">
        <is>
          <t>A. Água potável</t>
        </is>
      </c>
      <c r="C3" s="17" t="inlineStr">
        <is>
          <t>Poço artesiano / fonte própria</t>
        </is>
      </c>
      <c r="D3" s="17" t="inlineStr">
        <is>
          <t>Captação subterrânea, bomba submersa, selo sanitário, laje de proteção, tratamento, outorga</t>
        </is>
      </c>
      <c r="E3" s="17" t="inlineStr">
        <is>
          <t>Contaminação do aquífero (fossa próxima, poço mal selado ou abandonado aberto); falta de outorga e de análise; mistura com a rede da concessionária sem separação</t>
        </is>
      </c>
      <c r="F3" s="17" t="inlineStr">
        <is>
          <t>1,2,3</t>
        </is>
      </c>
      <c r="G3" s="17" t="inlineStr">
        <is>
          <t>✔ Portaria GM/MS 888/2021 · ✔ NBR 12244:2006 (construção de poço tubular) · ◻ outorga estadual/ANA</t>
        </is>
      </c>
      <c r="H3" s="18" t="n"/>
      <c r="I3" s="13" t="n"/>
      <c r="J3" s="13" t="n"/>
      <c r="K3" s="14" t="n"/>
      <c r="L3" s="13" t="n"/>
      <c r="M3" s="17">
        <f>IF(H3="S","Existe",IF(H3="N","Não existe",IF(H3="?","PIOR CASO: tratar como sem proteção","Não preenchido")))</f>
        <v/>
      </c>
      <c r="N3" s="17">
        <f>IF(H3="?","VISTORIAR",IF(H3="","A PREENCHER",""))</f>
        <v/>
      </c>
      <c r="O3" s="17" t="n">
        <v>4</v>
      </c>
    </row>
    <row r="4">
      <c r="A4" s="17" t="inlineStr">
        <is>
          <t>A3</t>
        </is>
      </c>
      <c r="B4" s="17" t="inlineStr">
        <is>
          <t>A. Água potável</t>
        </is>
      </c>
      <c r="C4" s="17" t="inlineStr">
        <is>
          <t>Abastecimento emergencial (caminhão-pipa)</t>
        </is>
      </c>
      <c r="D4" s="17" t="inlineStr">
        <is>
          <t>Ponto de recebimento de água de terceiros no reservatório</t>
        </is>
      </c>
      <c r="E4" s="17" t="inlineStr">
        <is>
          <t>Água de origem desconhecida; tanque do caminhão sujo; mangueira dentro da boca de visita do reservatório (entrada por reservatório); sem cloro</t>
        </is>
      </c>
      <c r="F4" s="17" t="inlineStr">
        <is>
          <t>2,3,9</t>
        </is>
      </c>
      <c r="G4" s="17" t="inlineStr">
        <is>
          <t>✔ Portaria 888/2021 (abrange abastecimento por carro-pipa) · ◻ cloro mínimo no carro-pipa (0,5 mg/L em fonte secundária)</t>
        </is>
      </c>
      <c r="H4" s="18" t="n"/>
      <c r="I4" s="13" t="n"/>
      <c r="J4" s="13" t="n"/>
      <c r="K4" s="14" t="n"/>
      <c r="L4" s="13" t="n"/>
      <c r="M4" s="17">
        <f>IF(H4="S","Existe",IF(H4="N","Não existe",IF(H4="?","PIOR CASO: tratar como sem proteção","Não preenchido")))</f>
        <v/>
      </c>
      <c r="N4" s="17">
        <f>IF(H4="?","VISTORIAR",IF(H4="","A PREENCHER",""))</f>
        <v/>
      </c>
      <c r="O4" s="17" t="n">
        <v>4</v>
      </c>
    </row>
    <row r="5">
      <c r="A5" s="17" t="inlineStr">
        <is>
          <t>A4</t>
        </is>
      </c>
      <c r="B5" s="17" t="inlineStr">
        <is>
          <t>A. Água potável</t>
        </is>
      </c>
      <c r="C5" s="17" t="inlineStr">
        <is>
          <t>Reservatório inferior (cisterna)</t>
        </is>
      </c>
      <c r="D5" s="17" t="inlineStr">
        <is>
          <t>Tanque enterrado ou no térreo/subsolo, com tampa de inspeção</t>
        </is>
      </c>
      <c r="E5" s="17" t="inlineStr">
        <is>
          <t>Infiltração de água do solo ou de poça; tampa sem vedação; ladrão sem proteção; sujeira acumulada; tubulação de esgoto ou pluvial próxima</t>
        </is>
      </c>
      <c r="F5" s="17" t="inlineStr">
        <is>
          <t>2,3,9</t>
        </is>
      </c>
      <c r="G5" s="17" t="inlineStr">
        <is>
          <t>✔ NBR 5626:2020</t>
        </is>
      </c>
      <c r="H5" s="18" t="n"/>
      <c r="I5" s="13" t="n"/>
      <c r="J5" s="13" t="n"/>
      <c r="K5" s="14" t="n"/>
      <c r="L5" s="13" t="n"/>
      <c r="M5" s="17">
        <f>IF(H5="S","Existe",IF(H5="N","Não existe",IF(H5="?","PIOR CASO: tratar como sem proteção","Não preenchido")))</f>
        <v/>
      </c>
      <c r="N5" s="17">
        <f>IF(H5="?","VISTORIAR",IF(H5="","A PREENCHER",""))</f>
        <v/>
      </c>
      <c r="O5" s="17" t="n">
        <v>1</v>
      </c>
    </row>
    <row r="6">
      <c r="A6" s="17" t="inlineStr">
        <is>
          <t>A5</t>
        </is>
      </c>
      <c r="B6" s="17" t="inlineStr">
        <is>
          <t>A. Água potável</t>
        </is>
      </c>
      <c r="C6" s="17" t="inlineStr">
        <is>
          <t>Recalque</t>
        </is>
      </c>
      <c r="D6" s="17" t="inlineStr">
        <is>
          <t>Bombas que sobem a água da cisterna ao reservatório superior, boias, quadros</t>
        </is>
      </c>
      <c r="E6" s="17" t="inlineStr">
        <is>
          <t>Pane; falta de bomba reserva; retenção falha e a água volta; falta de energia; funcionamento a seco</t>
        </is>
      </c>
      <c r="F6" s="17" t="inlineStr">
        <is>
          <t>2,5</t>
        </is>
      </c>
      <c r="G6" s="17" t="inlineStr">
        <is>
          <t>✔ NBR 5626:2020</t>
        </is>
      </c>
      <c r="H6" s="18" t="n"/>
      <c r="I6" s="13" t="n"/>
      <c r="J6" s="13" t="n"/>
      <c r="K6" s="14" t="n"/>
      <c r="L6" s="13" t="n"/>
      <c r="M6" s="17">
        <f>IF(H6="S","Existe",IF(H6="N","Não existe",IF(H6="?","PIOR CASO: tratar como sem proteção","Não preenchido")))</f>
        <v/>
      </c>
      <c r="N6" s="17">
        <f>IF(H6="?","VISTORIAR",IF(H6="","A PREENCHER",""))</f>
        <v/>
      </c>
      <c r="O6" s="17" t="n">
        <v>2</v>
      </c>
    </row>
    <row r="7">
      <c r="A7" s="17" t="inlineStr">
        <is>
          <t>A6</t>
        </is>
      </c>
      <c r="B7" s="17" t="inlineStr">
        <is>
          <t>A. Água potável</t>
        </is>
      </c>
      <c r="C7" s="17" t="inlineStr">
        <is>
          <t>Reservatório superior (caixa d'água)</t>
        </is>
      </c>
      <c r="D7" s="17" t="inlineStr">
        <is>
          <t>Tanques na cobertura (um ou vários, em células, ver A17)</t>
        </is>
      </c>
      <c r="E7" s="17" t="inlineStr">
        <is>
          <t>Entrada de sujeira ou água pela tampa e laje; tubulação de outro sistema passando por cima; ladrão sem tela (ver A23); estagnação; água quente do sol</t>
        </is>
      </c>
      <c r="F7" s="17" t="inlineStr">
        <is>
          <t>2,3,9</t>
        </is>
      </c>
      <c r="G7" s="17" t="inlineStr">
        <is>
          <t>✔ NBR 5626:2020</t>
        </is>
      </c>
      <c r="H7" s="18" t="n"/>
      <c r="I7" s="13" t="n"/>
      <c r="J7" s="13" t="n"/>
      <c r="K7" s="14" t="n"/>
      <c r="L7" s="13" t="n"/>
      <c r="M7" s="17">
        <f>IF(H7="S","Existe",IF(H7="N","Não existe",IF(H7="?","PIOR CASO: tratar como sem proteção","Não preenchido")))</f>
        <v/>
      </c>
      <c r="N7" s="17">
        <f>IF(H7="?","VISTORIAR",IF(H7="","A PREENCHER",""))</f>
        <v/>
      </c>
      <c r="O7" s="17" t="n">
        <v>1</v>
      </c>
    </row>
    <row r="8">
      <c r="A8" s="17" t="inlineStr">
        <is>
          <t>A7</t>
        </is>
      </c>
      <c r="B8" s="17" t="inlineStr">
        <is>
          <t>A. Água potável</t>
        </is>
      </c>
      <c r="C8" s="17" t="inlineStr">
        <is>
          <t>Barrilete e colunas</t>
        </is>
      </c>
      <c r="D8" s="17" t="inlineStr">
        <is>
          <t>Tubulação que sai do reservatório e distribui às prumadas</t>
        </is>
      </c>
      <c r="E8" s="17" t="inlineStr">
        <is>
          <t>Registros sem identificação; interligações improvisadas ("jumper", ver H12); corrosão; registro fechado esquecido</t>
        </is>
      </c>
      <c r="F8" s="17" t="inlineStr">
        <is>
          <t>1,2,4</t>
        </is>
      </c>
      <c r="G8" s="17" t="inlineStr">
        <is>
          <t>✔ NBR 5626:2020</t>
        </is>
      </c>
      <c r="H8" s="18" t="n"/>
      <c r="I8" s="13" t="n"/>
      <c r="J8" s="13" t="n"/>
      <c r="K8" s="14" t="n"/>
      <c r="L8" s="13" t="n"/>
      <c r="M8" s="17">
        <f>IF(H8="S","Existe",IF(H8="N","Não existe",IF(H8="?","PIOR CASO: tratar como sem proteção","Não preenchido")))</f>
        <v/>
      </c>
      <c r="N8" s="17">
        <f>IF(H8="?","VISTORIAR",IF(H8="","A PREENCHER",""))</f>
        <v/>
      </c>
      <c r="O8" s="17" t="n">
        <v>3</v>
      </c>
    </row>
    <row r="9">
      <c r="A9" s="17" t="inlineStr">
        <is>
          <t>A8</t>
        </is>
      </c>
      <c r="B9" s="17" t="inlineStr">
        <is>
          <t>A. Água potável</t>
        </is>
      </c>
      <c r="C9" s="17" t="inlineStr">
        <is>
          <t>Pressurização / redução de pressão</t>
        </is>
      </c>
      <c r="D9" s="17" t="inlineStr">
        <is>
          <t>Bombas booster (ver A20), tanque hidropneumático (A19), válvulas redutoras de pressão (VRP)</t>
        </is>
      </c>
      <c r="E9" s="17" t="inlineStr">
        <is>
          <t>Pressão alta (rompimento); oscilação; VRP travada aberta ou fechada; bomba com retorno</t>
        </is>
      </c>
      <c r="F9" s="17" t="inlineStr">
        <is>
          <t>4,5</t>
        </is>
      </c>
      <c r="G9" s="17" t="inlineStr">
        <is>
          <t>✔ NBR 5626:2020</t>
        </is>
      </c>
      <c r="H9" s="18" t="n"/>
      <c r="I9" s="13" t="n"/>
      <c r="J9" s="13" t="n"/>
      <c r="K9" s="14" t="n"/>
      <c r="L9" s="13" t="n"/>
      <c r="M9" s="17">
        <f>IF(H9="S","Existe",IF(H9="N","Não existe",IF(H9="?","PIOR CASO: tratar como sem proteção","Não preenchido")))</f>
        <v/>
      </c>
      <c r="N9" s="17">
        <f>IF(H9="?","VISTORIAR",IF(H9="","A PREENCHER",""))</f>
        <v/>
      </c>
      <c r="O9" s="17" t="n">
        <v>2</v>
      </c>
    </row>
    <row r="10">
      <c r="A10" s="17" t="inlineStr">
        <is>
          <t>A9</t>
        </is>
      </c>
      <c r="B10" s="17" t="inlineStr">
        <is>
          <t>A. Água potável</t>
        </is>
      </c>
      <c r="C10" s="17" t="inlineStr">
        <is>
          <t>Rede interna de distribuição</t>
        </is>
      </c>
      <c r="D10" s="17" t="inlineStr">
        <is>
          <t>Prumadas, ramais, sub-ramais, registros de andar</t>
        </is>
      </c>
      <c r="E10" s="17" t="inlineStr">
        <is>
          <t>Vazamento oculto; trecho morto com água parada; registro não encontrado na emergência</t>
        </is>
      </c>
      <c r="F10" s="17" t="inlineStr">
        <is>
          <t>2,3,4</t>
        </is>
      </c>
      <c r="G10" s="17" t="inlineStr">
        <is>
          <t>✔ NBR 5626:2020</t>
        </is>
      </c>
      <c r="H10" s="18" t="n"/>
      <c r="I10" s="13" t="n"/>
      <c r="J10" s="13" t="n"/>
      <c r="K10" s="14" t="n"/>
      <c r="L10" s="13" t="n"/>
      <c r="M10" s="17">
        <f>IF(H10="S","Existe",IF(H10="N","Não existe",IF(H10="?","PIOR CASO: tratar como sem proteção","Não preenchido")))</f>
        <v/>
      </c>
      <c r="N10" s="17">
        <f>IF(H10="?","VISTORIAR",IF(H10="","A PREENCHER",""))</f>
        <v/>
      </c>
      <c r="O10" s="17" t="n">
        <v>3</v>
      </c>
    </row>
    <row r="11">
      <c r="A11" s="17" t="inlineStr">
        <is>
          <t>A10</t>
        </is>
      </c>
      <c r="B11" s="17" t="inlineStr">
        <is>
          <t>A. Água potável</t>
        </is>
      </c>
      <c r="C11" s="17" t="inlineStr">
        <is>
          <t>Pontos de consumo</t>
        </is>
      </c>
      <c r="D11" s="17" t="inlineStr">
        <is>
          <t>Torneiras, copas, bebedouros, lavatórios, chuveiros, vasos, mictórios</t>
        </is>
      </c>
      <c r="E11" s="17" t="inlineStr">
        <is>
          <t>Ponto raramente usado estagna; ponto com conexão cruzada; ponto usado como fonte de reposição improvisada</t>
        </is>
      </c>
      <c r="F11" s="17" t="inlineStr">
        <is>
          <t>1,3</t>
        </is>
      </c>
      <c r="G11" s="17" t="inlineStr">
        <is>
          <t>✔ NBR 5626:2020</t>
        </is>
      </c>
      <c r="H11" s="18" t="n"/>
      <c r="I11" s="13" t="n"/>
      <c r="J11" s="13" t="n"/>
      <c r="K11" s="14" t="n"/>
      <c r="L11" s="13" t="n"/>
      <c r="M11" s="17">
        <f>IF(H11="S","Existe",IF(H11="N","Não existe",IF(H11="?","PIOR CASO: tratar como sem proteção","Não preenchido")))</f>
        <v/>
      </c>
      <c r="N11" s="17">
        <f>IF(H11="?","VISTORIAR",IF(H11="","A PREENCHER",""))</f>
        <v/>
      </c>
      <c r="O11" s="17" t="n">
        <v>3</v>
      </c>
    </row>
    <row r="12">
      <c r="A12" s="17" t="inlineStr">
        <is>
          <t>A11</t>
        </is>
      </c>
      <c r="B12" s="17" t="inlineStr">
        <is>
          <t>A. Água potável</t>
        </is>
      </c>
      <c r="C12" s="17" t="inlineStr">
        <is>
          <t>Tratamento pontual de potável (conjunto)</t>
        </is>
      </c>
      <c r="D12" s="17" t="inlineStr">
        <is>
          <t>Guarda-chuva dos itens A36 a A39 (filtros, cloração, UV, osmose)</t>
        </is>
      </c>
      <c r="E12" s="17" t="inlineStr">
        <is>
          <t>Dosagem errada; filtro saturado; resina contaminada. Marcar o detalhe em A36–A39</t>
        </is>
      </c>
      <c r="F12" s="17" t="inlineStr">
        <is>
          <t>3</t>
        </is>
      </c>
      <c r="G12" s="17" t="inlineStr">
        <is>
          <t>✔ Portaria 888/2021 (padrão de potabilidade)</t>
        </is>
      </c>
      <c r="H12" s="18" t="n"/>
      <c r="I12" s="13" t="n"/>
      <c r="J12" s="13" t="n"/>
      <c r="K12" s="14" t="n"/>
      <c r="L12" s="13" t="n"/>
      <c r="M12" s="17">
        <f>IF(H12="S","Existe",IF(H12="N","Não existe",IF(H12="?","PIOR CASO: tratar como sem proteção","Não preenchido")))</f>
        <v/>
      </c>
      <c r="N12" s="17">
        <f>IF(H12="?","VISTORIAR",IF(H12="","A PREENCHER",""))</f>
        <v/>
      </c>
      <c r="O12" s="17" t="n">
        <v>4</v>
      </c>
    </row>
    <row r="13">
      <c r="A13" s="17" t="inlineStr">
        <is>
          <t>A12</t>
        </is>
      </c>
      <c r="B13" s="17" t="inlineStr">
        <is>
          <t>A. Água potável</t>
        </is>
      </c>
      <c r="C13" s="17" t="inlineStr">
        <is>
          <t>Água quente sanitária (conjunto)</t>
        </is>
      </c>
      <c r="D13" s="17" t="inlineStr">
        <is>
          <t>Aquecimento, acumulação, recirculação e trocadores. Detalhe em A24–A31</t>
        </is>
      </c>
      <c r="E13" s="17" t="inlineStr">
        <is>
          <t>Faixa morna favorece Legionella (a faixa de risco varia entre referências, em geral entre ~20 e ~45 °C; confirmar); trocador de parede única contamina; recirculação parada</t>
        </is>
      </c>
      <c r="F13" s="17" t="inlineStr">
        <is>
          <t>1,3</t>
        </is>
      </c>
      <c r="G13" s="17" t="inlineStr">
        <is>
          <t>✔ NBR 5626:2020 · ✔ ASHRAE 188 · ✔ ASHRAE Guideline 12</t>
        </is>
      </c>
      <c r="H13" s="18" t="n"/>
      <c r="I13" s="13" t="n"/>
      <c r="J13" s="13" t="n"/>
      <c r="K13" s="14" t="n"/>
      <c r="L13" s="13" t="n"/>
      <c r="M13" s="17">
        <f>IF(H13="S","Existe",IF(H13="N","Não existe",IF(H13="?","PIOR CASO: tratar como sem proteção","Não preenchido")))</f>
        <v/>
      </c>
      <c r="N13" s="17">
        <f>IF(H13="?","VISTORIAR",IF(H13="","A PREENCHER",""))</f>
        <v/>
      </c>
      <c r="O13" s="17" t="n">
        <v>5</v>
      </c>
    </row>
    <row r="14">
      <c r="A14" s="17" t="inlineStr">
        <is>
          <t>A13</t>
        </is>
      </c>
      <c r="B14" s="17" t="inlineStr">
        <is>
          <t>A. Água potável</t>
        </is>
      </c>
      <c r="C14" s="17" t="inlineStr">
        <is>
          <t>Dispositivos de proteção contra refluxo</t>
        </is>
      </c>
      <c r="D14" s="17" t="inlineStr">
        <is>
          <t>Válvulas de retenção, quebra-vácuo, disconector/BPV, separação atmosférica</t>
        </is>
      </c>
      <c r="E14" s="17" t="inlineStr">
        <is>
          <t>Ausência; instalação errada; sem teste periódico; dispositivo "curto-circuitado" por by-pass. Ver "Mapa de interconexões críticas"</t>
        </is>
      </c>
      <c r="F14" s="17" t="inlineStr">
        <is>
          <t>1,7</t>
        </is>
      </c>
      <c r="G14" s="17" t="inlineStr">
        <is>
          <t>✔ NBR 5626:2020 (a norma trata de proteção contra refluxo; cláusula a ler) · ✔ EN 1717 (referência internacional)</t>
        </is>
      </c>
      <c r="H14" s="18" t="n"/>
      <c r="I14" s="13" t="n"/>
      <c r="J14" s="13" t="n"/>
      <c r="K14" s="14" t="n"/>
      <c r="L14" s="13" t="n"/>
      <c r="M14" s="17">
        <f>IF(H14="S","Existe",IF(H14="N","Não existe",IF(H14="?","PIOR CASO: tratar como sem proteção","Não preenchido")))</f>
        <v/>
      </c>
      <c r="N14" s="17">
        <f>IF(H14="?","VISTORIAR",IF(H14="","A PREENCHER",""))</f>
        <v/>
      </c>
      <c r="O14" s="17" t="n">
        <v>6</v>
      </c>
    </row>
    <row r="15">
      <c r="A15" s="17" t="inlineStr">
        <is>
          <t>A14</t>
        </is>
      </c>
      <c r="B15" s="17" t="inlineStr">
        <is>
          <t>A. Água potável</t>
        </is>
      </c>
      <c r="C15" s="17" t="inlineStr">
        <is>
          <t>Controle da qualidade da água</t>
        </is>
      </c>
      <c r="D15" s="17" t="inlineStr">
        <is>
          <t>Cloro residual, análises laboratoriais, plano de amostragem, pontos de coleta</t>
        </is>
      </c>
      <c r="E15" s="17" t="inlineStr">
        <is>
          <t>Sem ponto de coleta definido; laudo vencido; não conformidade sem ação. Cuidado de escopo: a Portaria 888 trata de sistemas de abastecimento e soluções alternativas; em prédio abastecido pela concessionária, confirmar com a vigilância sanitária local o que é obrigação do condomínio e o que é referência</t>
        </is>
      </c>
      <c r="F15" s="17" t="inlineStr">
        <is>
          <t>3,T</t>
        </is>
      </c>
      <c r="G15" s="17" t="inlineStr">
        <is>
          <t>✔ Portaria 888/2021 (cloro residual livre mínimo de 0,2 mg/L na rede e nos pontos, segundo fonte secundária: ◻ conferir artigo)</t>
        </is>
      </c>
      <c r="H15" s="18" t="n"/>
      <c r="I15" s="13" t="n"/>
      <c r="J15" s="13" t="n"/>
      <c r="K15" s="14" t="n"/>
      <c r="L15" s="13" t="n"/>
      <c r="M15" s="17">
        <f>IF(H15="S","Existe",IF(H15="N","Não existe",IF(H15="?","PIOR CASO: tratar como sem proteção","Não preenchido")))</f>
        <v/>
      </c>
      <c r="N15" s="17">
        <f>IF(H15="?","VISTORIAR",IF(H15="","A PREENCHER",""))</f>
        <v/>
      </c>
      <c r="O15" s="17" t="n">
        <v>4</v>
      </c>
    </row>
    <row r="16">
      <c r="A16" s="17" t="inlineStr">
        <is>
          <t>A15</t>
        </is>
      </c>
      <c r="B16" s="17" t="inlineStr">
        <is>
          <t>A. Água potável</t>
        </is>
      </c>
      <c r="C16" s="17" t="inlineStr">
        <is>
          <t>Interligação entre prédios, lotes ou reservatórios vizinhos</t>
        </is>
      </c>
      <c r="D16" s="17" t="inlineStr">
        <is>
          <t>Tubulação de emergência entre torres, blocos ou galpões; registro "para emergência"</t>
        </is>
      </c>
      <c r="E16" s="17" t="inlineStr">
        <is>
          <t>Mistura de qualidades e de pressões; reservatório de um bloco contamina o outro; registro aberto esquece; sem mapa</t>
        </is>
      </c>
      <c r="F16" s="17" t="inlineStr">
        <is>
          <t>1,2,9</t>
        </is>
      </c>
      <c r="G16" s="17" t="inlineStr">
        <is>
          <t>◻ NBR 5626:2020 (conferir)</t>
        </is>
      </c>
      <c r="H16" s="18" t="n"/>
      <c r="I16" s="13" t="n"/>
      <c r="J16" s="13" t="n"/>
      <c r="K16" s="14" t="n"/>
      <c r="L16" s="13" t="n"/>
      <c r="M16" s="17">
        <f>IF(H16="S","Existe",IF(H16="N","Não existe",IF(H16="?","PIOR CASO: tratar como sem proteção","Não preenchido")))</f>
        <v/>
      </c>
      <c r="N16" s="17">
        <f>IF(H16="?","VISTORIAR",IF(H16="","A PREENCHER",""))</f>
        <v/>
      </c>
      <c r="O16" s="17" t="n">
        <v>3</v>
      </c>
    </row>
    <row r="17">
      <c r="A17" s="17" t="inlineStr">
        <is>
          <t>A16</t>
        </is>
      </c>
      <c r="B17" s="17" t="inlineStr">
        <is>
          <t>A. Água potável</t>
        </is>
      </c>
      <c r="C17" s="17" t="inlineStr">
        <is>
          <t>Hidrômetros de sub-medição, hidrômetros inteligentes e telemetria</t>
        </is>
      </c>
      <c r="D17" s="17" t="inlineStr">
        <is>
          <t>Medidores por andar/loja/galpão, com saída de pulso ou rede (LoRa, GSM); hidrômetro dedicado em reposição de circuito</t>
        </is>
      </c>
      <c r="E17" s="17" t="inlineStr">
        <is>
          <t>Medidor parado ou by-passado; telemetria sem alarme de fluxo contínuo (vazamento passa despercebido); medidor sem retenção a jusante</t>
        </is>
      </c>
      <c r="F17" s="17" t="inlineStr">
        <is>
          <t>2,4,T</t>
        </is>
      </c>
      <c r="G17" s="17" t="inlineStr">
        <is>
          <t>◻ regulamento metrológico do Inmetro (conferir)</t>
        </is>
      </c>
      <c r="H17" s="18" t="n"/>
      <c r="I17" s="13" t="n"/>
      <c r="J17" s="13" t="n"/>
      <c r="K17" s="14" t="n"/>
      <c r="L17" s="13" t="n"/>
      <c r="M17" s="17">
        <f>IF(H17="S","Existe",IF(H17="N","Não existe",IF(H17="?","PIOR CASO: tratar como sem proteção","Não preenchido")))</f>
        <v/>
      </c>
      <c r="N17" s="17">
        <f>IF(H17="?","VISTORIAR",IF(H17="","A PREENCHER",""))</f>
        <v/>
      </c>
      <c r="O17" s="17" t="n">
        <v>3</v>
      </c>
    </row>
    <row r="18">
      <c r="A18" s="17" t="inlineStr">
        <is>
          <t>A17</t>
        </is>
      </c>
      <c r="B18" s="17" t="inlineStr">
        <is>
          <t>A. Água potável</t>
        </is>
      </c>
      <c r="C18" s="17" t="inlineStr">
        <is>
          <t>Reservatório em células e tubulação de equalização</t>
        </is>
      </c>
      <c r="D18" s="17" t="inlineStr">
        <is>
          <t>Várias células interligadas por tubo de equalização ou barrilete comum</t>
        </is>
      </c>
      <c r="E18" s="17" t="inlineStr">
        <is>
          <t>Célula em limpeza com registro de isolamento aberto contamina a outra; célula parada estagna; equalização leva sujeira de uma à outra</t>
        </is>
      </c>
      <c r="F18" s="17" t="inlineStr">
        <is>
          <t>2,3,9</t>
        </is>
      </c>
      <c r="G18" s="17" t="inlineStr">
        <is>
          <t>◻ NBR 5626:2020 (conferir)</t>
        </is>
      </c>
      <c r="H18" s="18" t="n"/>
      <c r="I18" s="13" t="n"/>
      <c r="J18" s="13" t="n"/>
      <c r="K18" s="14" t="n"/>
      <c r="L18" s="13" t="n"/>
      <c r="M18" s="17">
        <f>IF(H18="S","Existe",IF(H18="N","Não existe",IF(H18="?","PIOR CASO: tratar como sem proteção","Não preenchido")))</f>
        <v/>
      </c>
      <c r="N18" s="17">
        <f>IF(H18="?","VISTORIAR",IF(H18="","A PREENCHER",""))</f>
        <v/>
      </c>
      <c r="O18" s="17" t="n">
        <v>1</v>
      </c>
    </row>
    <row r="19">
      <c r="A19" s="17" t="inlineStr">
        <is>
          <t>A18</t>
        </is>
      </c>
      <c r="B19" s="17" t="inlineStr">
        <is>
          <t>A. Água potável</t>
        </is>
      </c>
      <c r="C19" s="17" t="inlineStr">
        <is>
          <t>Reservatório de passagem / tanque pulmão (break tank)</t>
        </is>
      </c>
      <c r="D19" s="17" t="inlineStr">
        <is>
          <t>Tanque intermediário entre rede e bombas (comum em logístico com baixa pressão)</t>
        </is>
      </c>
      <c r="E19" s="17" t="inlineStr">
        <is>
          <t>Estagnação (cloro some); boia presa; tampa aberta; ladrão sem proteção; falta de bomba</t>
        </is>
      </c>
      <c r="F19" s="17" t="inlineStr">
        <is>
          <t>2,3,9</t>
        </is>
      </c>
      <c r="G19" s="17" t="inlineStr">
        <is>
          <t>◻ NBR 5626:2020 (conferir)</t>
        </is>
      </c>
      <c r="H19" s="18" t="n"/>
      <c r="I19" s="13" t="n"/>
      <c r="J19" s="13" t="n"/>
      <c r="K19" s="14" t="n"/>
      <c r="L19" s="13" t="n"/>
      <c r="M19" s="17">
        <f>IF(H19="S","Existe",IF(H19="N","Não existe",IF(H19="?","PIOR CASO: tratar como sem proteção","Não preenchido")))</f>
        <v/>
      </c>
      <c r="N19" s="17">
        <f>IF(H19="?","VISTORIAR",IF(H19="","A PREENCHER",""))</f>
        <v/>
      </c>
      <c r="O19" s="17" t="n">
        <v>1</v>
      </c>
    </row>
    <row r="20">
      <c r="A20" s="17" t="inlineStr">
        <is>
          <t>A19</t>
        </is>
      </c>
      <c r="B20" s="17" t="inlineStr">
        <is>
          <t>A. Água potável</t>
        </is>
      </c>
      <c r="C20" s="17" t="inlineStr">
        <is>
          <t>Tanque hidropneumático e vasos de expansão do pressurizador</t>
        </is>
      </c>
      <c r="D20" s="17" t="inlineStr">
        <is>
          <t>Vaso com bexiga ou colchão de ar, pressostatos, compressor (se houver)</t>
        </is>
      </c>
      <c r="E20" s="17" t="inlineStr">
        <is>
          <t>Bexiga rompida (água em contato com aço, ferrugem, biofilme); perda do colchão de ar faz a bomba ligar e desligar sem parar; vaso de pressão sem inspeção</t>
        </is>
      </c>
      <c r="F20" s="17" t="inlineStr">
        <is>
          <t>3,5</t>
        </is>
      </c>
      <c r="G20" s="17" t="inlineStr">
        <is>
          <t>◻ NR-13 (se enquadrado como vaso de pressão; conferir)</t>
        </is>
      </c>
      <c r="H20" s="18" t="n"/>
      <c r="I20" s="13" t="n"/>
      <c r="J20" s="13" t="n"/>
      <c r="K20" s="14" t="n"/>
      <c r="L20" s="13" t="n"/>
      <c r="M20" s="17">
        <f>IF(H20="S","Existe",IF(H20="N","Não existe",IF(H20="?","PIOR CASO: tratar como sem proteção","Não preenchido")))</f>
        <v/>
      </c>
      <c r="N20" s="17">
        <f>IF(H20="?","VISTORIAR",IF(H20="","A PREENCHER",""))</f>
        <v/>
      </c>
      <c r="O20" s="17" t="n">
        <v>2</v>
      </c>
    </row>
    <row r="21">
      <c r="A21" s="17" t="inlineStr">
        <is>
          <t>A20</t>
        </is>
      </c>
      <c r="B21" s="17" t="inlineStr">
        <is>
          <t>A. Água potável</t>
        </is>
      </c>
      <c r="C21" s="17" t="inlineStr">
        <is>
          <t>Skid de bombeamento (booster) com inversor de frequência</t>
        </is>
      </c>
      <c r="D21" s="17" t="inlineStr">
        <is>
          <t>Conjunto compacto de bombas, inversor, transdutor de pressão, válvulas e quadro</t>
        </is>
      </c>
      <c r="E21" s="17" t="inlineStr">
        <is>
          <t>Falha do inversor ou do sensor derruba a pressão ou a sobe demais; sem bomba reserva; alarme sem destinatário; sucção em depressão puxa água de reservatório</t>
        </is>
      </c>
      <c r="F21" s="17" t="inlineStr">
        <is>
          <t>2,4,5</t>
        </is>
      </c>
      <c r="G21" s="17" t="inlineStr">
        <is>
          <t>◻ NBR 5626:2020 (conferir)</t>
        </is>
      </c>
      <c r="H21" s="18" t="n"/>
      <c r="I21" s="13" t="n"/>
      <c r="J21" s="13" t="n"/>
      <c r="K21" s="14" t="n"/>
      <c r="L21" s="13" t="n"/>
      <c r="M21" s="17">
        <f>IF(H21="S","Existe",IF(H21="N","Não existe",IF(H21="?","PIOR CASO: tratar como sem proteção","Não preenchido")))</f>
        <v/>
      </c>
      <c r="N21" s="17">
        <f>IF(H21="?","VISTORIAR",IF(H21="","A PREENCHER",""))</f>
        <v/>
      </c>
      <c r="O21" s="17" t="n">
        <v>2</v>
      </c>
    </row>
    <row r="22">
      <c r="A22" s="17" t="inlineStr">
        <is>
          <t>A21</t>
        </is>
      </c>
      <c r="B22" s="17" t="inlineStr">
        <is>
          <t>A. Água potável</t>
        </is>
      </c>
      <c r="C22" s="17" t="inlineStr">
        <is>
          <t>Válvulas de alívio e de segurança hidráulicas</t>
        </is>
      </c>
      <c r="D22" s="17" t="inlineStr">
        <is>
          <t>Alívio de pressão em pressurizadores, aquecedores e redes; descarga canalizada ou livre</t>
        </is>
      </c>
      <c r="E22" s="17" t="inlineStr">
        <is>
          <t>Descarga ligada direto ao esgoto sem folga de ar; válvula emperrada fechada; gotejando sem ninguém ver (perda contínua)</t>
        </is>
      </c>
      <c r="F22" s="17" t="inlineStr">
        <is>
          <t>4,7</t>
        </is>
      </c>
      <c r="G22" s="17" t="inlineStr">
        <is>
          <t>◻ NBR 5626:2020 (conferir)</t>
        </is>
      </c>
      <c r="H22" s="18" t="n"/>
      <c r="I22" s="13" t="n"/>
      <c r="J22" s="13" t="n"/>
      <c r="K22" s="14" t="n"/>
      <c r="L22" s="13" t="n"/>
      <c r="M22" s="17">
        <f>IF(H22="S","Existe",IF(H22="N","Não existe",IF(H22="?","PIOR CASO: tratar como sem proteção","Não preenchido")))</f>
        <v/>
      </c>
      <c r="N22" s="17">
        <f>IF(H22="?","VISTORIAR",IF(H22="","A PREENCHER",""))</f>
        <v/>
      </c>
      <c r="O22" s="17" t="n">
        <v>2</v>
      </c>
    </row>
    <row r="23">
      <c r="A23" s="17" t="inlineStr">
        <is>
          <t>A22</t>
        </is>
      </c>
      <c r="B23" s="17" t="inlineStr">
        <is>
          <t>A. Água potável</t>
        </is>
      </c>
      <c r="C23" s="17" t="inlineStr">
        <is>
          <t>Boias, válvulas de nível, chaves e sensores de nível de reservatório</t>
        </is>
      </c>
      <c r="D23" s="17" t="inlineStr">
        <is>
          <t>Boia mecânica, boia elétrica, sensor ultrassônico, chave de nível</t>
        </is>
      </c>
      <c r="E23" s="17" t="inlineStr">
        <is>
          <t>Boia presa ou quebrada: transborda (4) ou deixa esvaziar (2); sensor sujo; boia ligada à rede sem proteção contra refluxo</t>
        </is>
      </c>
      <c r="F23" s="17" t="inlineStr">
        <is>
          <t>2,4,5,9</t>
        </is>
      </c>
      <c r="G23" s="17" t="inlineStr">
        <is>
          <t>✔ NBR 5626:2020 (a norma exige válvula de boia com proteção; cláusula a ler)</t>
        </is>
      </c>
      <c r="H23" s="18" t="n"/>
      <c r="I23" s="13" t="n"/>
      <c r="J23" s="13" t="n"/>
      <c r="K23" s="14" t="n"/>
      <c r="L23" s="13" t="n"/>
      <c r="M23" s="17">
        <f>IF(H23="S","Existe",IF(H23="N","Não existe",IF(H23="?","PIOR CASO: tratar como sem proteção","Não preenchido")))</f>
        <v/>
      </c>
      <c r="N23" s="17">
        <f>IF(H23="?","VISTORIAR",IF(H23="","A PREENCHER",""))</f>
        <v/>
      </c>
      <c r="O23" s="17" t="n">
        <v>1</v>
      </c>
    </row>
    <row r="24">
      <c r="A24" s="17" t="inlineStr">
        <is>
          <t>A23</t>
        </is>
      </c>
      <c r="B24" s="17" t="inlineStr">
        <is>
          <t>A. Água potável</t>
        </is>
      </c>
      <c r="C24" s="17" t="inlineStr">
        <is>
          <t>Ladrão, extravasor, respiro e tela dos reservatórios potáveis</t>
        </is>
      </c>
      <c r="D24" s="17" t="inlineStr">
        <is>
          <t>Tubo de ladrão, tubo de limpeza, respiro, tela</t>
        </is>
      </c>
      <c r="E24" s="17" t="inlineStr">
        <is>
          <t>Ladrão ligado direto ao esgoto ou pluvial sem desconexão (gás e retorno entram na caixa); tela rasgada ou entupida; respiro aberto para fonte de poeira ou animais</t>
        </is>
      </c>
      <c r="F24" s="17" t="inlineStr">
        <is>
          <t>7,9</t>
        </is>
      </c>
      <c r="G24" s="17" t="inlineStr">
        <is>
          <t>✔ NBR 5626:2020 (reservatório e extravasor; cláusula a ler)</t>
        </is>
      </c>
      <c r="H24" s="18" t="n"/>
      <c r="I24" s="13" t="n"/>
      <c r="J24" s="13" t="n"/>
      <c r="K24" s="14" t="n"/>
      <c r="L24" s="13" t="n"/>
      <c r="M24" s="17">
        <f>IF(H24="S","Existe",IF(H24="N","Não existe",IF(H24="?","PIOR CASO: tratar como sem proteção","Não preenchido")))</f>
        <v/>
      </c>
      <c r="N24" s="17">
        <f>IF(H24="?","VISTORIAR",IF(H24="","A PREENCHER",""))</f>
        <v/>
      </c>
      <c r="O24" s="17" t="n">
        <v>1</v>
      </c>
    </row>
    <row r="25">
      <c r="A25" s="17" t="inlineStr">
        <is>
          <t>A24</t>
        </is>
      </c>
      <c r="B25" s="17" t="inlineStr">
        <is>
          <t>A. Água potável</t>
        </is>
      </c>
      <c r="C25" s="17" t="inlineStr">
        <is>
          <t>Aquecimento central a gás (passagem e acumulação)</t>
        </is>
      </c>
      <c r="D25" s="17" t="inlineStr">
        <is>
          <t>Aquecedores a gás em casa de máquinas, com acumulador e chaminé</t>
        </is>
      </c>
      <c r="E25" s="17" t="inlineStr">
        <is>
          <t>Temperatura de armazenamento baixa favorece Legionella; trocador de parede única se tiver circuito de aquecimento; acúmulo de sedimento</t>
        </is>
      </c>
      <c r="F25" s="17" t="inlineStr">
        <is>
          <t>3</t>
        </is>
      </c>
      <c r="G25" s="17" t="inlineStr">
        <is>
          <t>✔ NBR 5626:2020 (água quente) · ◻ norma e regra local de instalação de gás (conferir)</t>
        </is>
      </c>
      <c r="H25" s="18" t="n"/>
      <c r="I25" s="13" t="n"/>
      <c r="J25" s="13" t="n"/>
      <c r="K25" s="14" t="n"/>
      <c r="L25" s="13" t="n"/>
      <c r="M25" s="17">
        <f>IF(H25="S","Existe",IF(H25="N","Não existe",IF(H25="?","PIOR CASO: tratar como sem proteção","Não preenchido")))</f>
        <v/>
      </c>
      <c r="N25" s="17">
        <f>IF(H25="?","VISTORIAR",IF(H25="","A PREENCHER",""))</f>
        <v/>
      </c>
      <c r="O25" s="17" t="n">
        <v>5</v>
      </c>
    </row>
    <row r="26">
      <c r="A26" s="17" t="inlineStr">
        <is>
          <t>A25</t>
        </is>
      </c>
      <c r="B26" s="17" t="inlineStr">
        <is>
          <t>A. Água potável</t>
        </is>
      </c>
      <c r="C26" s="17" t="inlineStr">
        <is>
          <t>Aquecedor elétrico de acumulação e de passagem</t>
        </is>
      </c>
      <c r="D26" s="17" t="inlineStr">
        <is>
          <t>Boilers em vestiários, copas e cozinhas; chuveiros elétricos</t>
        </is>
      </c>
      <c r="E26" s="17" t="inlineStr">
        <is>
          <t>Boiler sem uso estagna e fica morno; válvula de alívio gotejando; ânodo de sacrifício vencido</t>
        </is>
      </c>
      <c r="F26" s="17" t="inlineStr">
        <is>
          <t>3</t>
        </is>
      </c>
      <c r="G26" s="17" t="inlineStr">
        <is>
          <t>✔ NBR 5626:2020 (água quente)</t>
        </is>
      </c>
      <c r="H26" s="18" t="n"/>
      <c r="I26" s="13" t="n"/>
      <c r="J26" s="13" t="n"/>
      <c r="K26" s="14" t="n"/>
      <c r="L26" s="13" t="n"/>
      <c r="M26" s="17">
        <f>IF(H26="S","Existe",IF(H26="N","Não existe",IF(H26="?","PIOR CASO: tratar como sem proteção","Não preenchido")))</f>
        <v/>
      </c>
      <c r="N26" s="17">
        <f>IF(H26="?","VISTORIAR",IF(H26="","A PREENCHER",""))</f>
        <v/>
      </c>
      <c r="O26" s="17" t="n">
        <v>5</v>
      </c>
    </row>
    <row r="27">
      <c r="A27" s="17" t="inlineStr">
        <is>
          <t>A26</t>
        </is>
      </c>
      <c r="B27" s="17" t="inlineStr">
        <is>
          <t>A. Água potável</t>
        </is>
      </c>
      <c r="C27" s="17" t="inlineStr">
        <is>
          <t>Aquecimento solar com coletores e acumulador</t>
        </is>
      </c>
      <c r="D27" s="17" t="inlineStr">
        <is>
          <t>Coletores na cobertura, reservatório térmico, apoio elétrico ou a gás</t>
        </is>
      </c>
      <c r="E27" s="17" t="inlineStr">
        <is>
          <t>Estagnação no verão; apoio desligado deixa o acumulador na faixa morna; circuito indireto com fluido de troca (glicol) e trocador de parede única</t>
        </is>
      </c>
      <c r="F27" s="17" t="inlineStr">
        <is>
          <t>1,3</t>
        </is>
      </c>
      <c r="G27" s="17" t="inlineStr">
        <is>
          <t>✔ NBR 15569:2020 (circuito direto; requisitos de projeto e instalação)</t>
        </is>
      </c>
      <c r="H27" s="18" t="n"/>
      <c r="I27" s="13" t="n"/>
      <c r="J27" s="13" t="n"/>
      <c r="K27" s="14" t="n"/>
      <c r="L27" s="13" t="n"/>
      <c r="M27" s="17">
        <f>IF(H27="S","Existe",IF(H27="N","Não existe",IF(H27="?","PIOR CASO: tratar como sem proteção","Não preenchido")))</f>
        <v/>
      </c>
      <c r="N27" s="17">
        <f>IF(H27="?","VISTORIAR",IF(H27="","A PREENCHER",""))</f>
        <v/>
      </c>
      <c r="O27" s="17" t="n">
        <v>5</v>
      </c>
    </row>
    <row r="28">
      <c r="A28" s="17" t="inlineStr">
        <is>
          <t>A27</t>
        </is>
      </c>
      <c r="B28" s="17" t="inlineStr">
        <is>
          <t>A. Água potável</t>
        </is>
      </c>
      <c r="C28" s="17" t="inlineStr">
        <is>
          <t>Bomba de calor para água quente sanitária</t>
        </is>
      </c>
      <c r="D28" s="17" t="inlineStr">
        <is>
          <t>Bomba de calor ar-água ou água-água com acumulador</t>
        </is>
      </c>
      <c r="E28" s="17" t="inlineStr">
        <is>
          <t>Temperatura de acumulação baixa; resistência de apoio desligada; trocador de condensador de parede única</t>
        </is>
      </c>
      <c r="F28" s="17" t="inlineStr">
        <is>
          <t>1,3</t>
        </is>
      </c>
      <c r="G28" s="17" t="inlineStr">
        <is>
          <t>◻ NBR 5626:2020 (conferir)</t>
        </is>
      </c>
      <c r="H28" s="18" t="n"/>
      <c r="I28" s="13" t="n"/>
      <c r="J28" s="13" t="n"/>
      <c r="K28" s="14" t="n"/>
      <c r="L28" s="13" t="n"/>
      <c r="M28" s="17">
        <f>IF(H28="S","Existe",IF(H28="N","Não existe",IF(H28="?","PIOR CASO: tratar como sem proteção","Não preenchido")))</f>
        <v/>
      </c>
      <c r="N28" s="17">
        <f>IF(H28="?","VISTORIAR",IF(H28="","A PREENCHER",""))</f>
        <v/>
      </c>
      <c r="O28" s="17" t="n">
        <v>5</v>
      </c>
    </row>
    <row r="29">
      <c r="A29" s="17" t="inlineStr">
        <is>
          <t>A28</t>
        </is>
      </c>
      <c r="B29" s="17" t="inlineStr">
        <is>
          <t>A. Água potável</t>
        </is>
      </c>
      <c r="C29" s="17" t="inlineStr">
        <is>
          <t>Trocador de calor de placas ou de serpentina (água quente sanitária)</t>
        </is>
      </c>
      <c r="D29" s="17" t="inlineStr">
        <is>
          <t>Trocador entre circuito primário (caldeira, vapor, recuperação de calor) e água sanitária</t>
        </is>
      </c>
      <c r="E29" s="17" t="inlineStr">
        <is>
          <t>Parede única: furo mistura circuito químico com potável, em qualquer sentido de pressão. Placas com gaxeta ou solda trincada. Contrapressão se o primário tem pressão maior</t>
        </is>
      </c>
      <c r="F29" s="17" t="inlineStr">
        <is>
          <t>1</t>
        </is>
      </c>
      <c r="G29" s="17" t="inlineStr">
        <is>
          <t>◻ NBR 5626:2020 (conferir)</t>
        </is>
      </c>
      <c r="H29" s="18" t="n"/>
      <c r="I29" s="13" t="n"/>
      <c r="J29" s="13" t="n"/>
      <c r="K29" s="14" t="n"/>
      <c r="L29" s="13" t="n"/>
      <c r="M29" s="17">
        <f>IF(H29="S","Existe",IF(H29="N","Não existe",IF(H29="?","PIOR CASO: tratar como sem proteção","Não preenchido")))</f>
        <v/>
      </c>
      <c r="N29" s="17">
        <f>IF(H29="?","VISTORIAR",IF(H29="","A PREENCHER",""))</f>
        <v/>
      </c>
      <c r="O29" s="17" t="n">
        <v>5</v>
      </c>
    </row>
    <row r="30">
      <c r="A30" s="17" t="inlineStr">
        <is>
          <t>A29</t>
        </is>
      </c>
      <c r="B30" s="17" t="inlineStr">
        <is>
          <t>A. Água potável</t>
        </is>
      </c>
      <c r="C30" s="17" t="inlineStr">
        <is>
          <t>Recirculação de água quente e válvulas de balanceamento</t>
        </is>
      </c>
      <c r="D30" s="17" t="inlineStr">
        <is>
          <t>Retorno, bomba de recirculação, válvulas de balanceamento ou termostáticas</t>
        </is>
      </c>
      <c r="E30" s="17" t="inlineStr">
        <is>
          <t>Bomba parada: trecho frio e morno; ramal sem retorno ("rabo") estagna; balanceamento perdido deixa ramais mornos</t>
        </is>
      </c>
      <c r="F30" s="17" t="inlineStr">
        <is>
          <t>3,5</t>
        </is>
      </c>
      <c r="G30" s="17" t="inlineStr">
        <is>
          <t>✔ NBR 5626:2020 (água quente)</t>
        </is>
      </c>
      <c r="H30" s="18" t="n"/>
      <c r="I30" s="13" t="n"/>
      <c r="J30" s="13" t="n"/>
      <c r="K30" s="14" t="n"/>
      <c r="L30" s="13" t="n"/>
      <c r="M30" s="17">
        <f>IF(H30="S","Existe",IF(H30="N","Não existe",IF(H30="?","PIOR CASO: tratar como sem proteção","Não preenchido")))</f>
        <v/>
      </c>
      <c r="N30" s="17">
        <f>IF(H30="?","VISTORIAR",IF(H30="","A PREENCHER",""))</f>
        <v/>
      </c>
      <c r="O30" s="17" t="n">
        <v>5</v>
      </c>
    </row>
    <row r="31">
      <c r="A31" s="17" t="inlineStr">
        <is>
          <t>A30</t>
        </is>
      </c>
      <c r="B31" s="17" t="inlineStr">
        <is>
          <t>A. Água potável</t>
        </is>
      </c>
      <c r="C31" s="17" t="inlineStr">
        <is>
          <t>Válvulas misturadoras termostáticas e misturadores</t>
        </is>
      </c>
      <c r="D31" s="17" t="inlineStr">
        <is>
          <t>Mixing valves em vestiários, PNE e chuveiros; misturador central</t>
        </is>
      </c>
      <c r="E31" s="17" t="inlineStr">
        <is>
          <t>Para evitar escaldamento o armazenamento é mantido alto e a válvula mistura: se o ramal pós-mistura é longo, fica morno. Válvula travada. Contrapressão por diferença de pressão entre quente e fria</t>
        </is>
      </c>
      <c r="F31" s="17" t="inlineStr">
        <is>
          <t>1,3</t>
        </is>
      </c>
      <c r="G31" s="17" t="inlineStr">
        <is>
          <t>◻ NBR 5626:2020 (conferir)</t>
        </is>
      </c>
      <c r="H31" s="18" t="n"/>
      <c r="I31" s="13" t="n"/>
      <c r="J31" s="13" t="n"/>
      <c r="K31" s="14" t="n"/>
      <c r="L31" s="13" t="n"/>
      <c r="M31" s="17">
        <f>IF(H31="S","Existe",IF(H31="N","Não existe",IF(H31="?","PIOR CASO: tratar como sem proteção","Não preenchido")))</f>
        <v/>
      </c>
      <c r="N31" s="17">
        <f>IF(H31="?","VISTORIAR",IF(H31="","A PREENCHER",""))</f>
        <v/>
      </c>
      <c r="O31" s="17" t="n">
        <v>5</v>
      </c>
    </row>
    <row r="32">
      <c r="A32" s="17" t="inlineStr">
        <is>
          <t>A31</t>
        </is>
      </c>
      <c r="B32" s="17" t="inlineStr">
        <is>
          <t>A. Água potável</t>
        </is>
      </c>
      <c r="C32" s="17" t="inlineStr">
        <is>
          <t>Válvula de alívio térmico (T&amp;P) e vaso de expansão do aquecedor</t>
        </is>
      </c>
      <c r="D32" s="17" t="inlineStr">
        <is>
          <t>Alívio de pressão/temperatura e vaso de expansão do circuito de água quente</t>
        </is>
      </c>
      <c r="E32" s="17" t="inlineStr">
        <is>
          <t>Aquecedor com retenção na entrada e sem vaso de expansão: a dilatação sobe a pressão; descarga sem folga de ar</t>
        </is>
      </c>
      <c r="F32" s="17" t="inlineStr">
        <is>
          <t>4,7</t>
        </is>
      </c>
      <c r="G32" s="17" t="inlineStr">
        <is>
          <t>◻ NBR 5626:2020 (conferir)</t>
        </is>
      </c>
      <c r="H32" s="18" t="n"/>
      <c r="I32" s="13" t="n"/>
      <c r="J32" s="13" t="n"/>
      <c r="K32" s="14" t="n"/>
      <c r="L32" s="13" t="n"/>
      <c r="M32" s="17">
        <f>IF(H32="S","Existe",IF(H32="N","Não existe",IF(H32="?","PIOR CASO: tratar como sem proteção","Não preenchido")))</f>
        <v/>
      </c>
      <c r="N32" s="17">
        <f>IF(H32="?","VISTORIAR",IF(H32="","A PREENCHER",""))</f>
        <v/>
      </c>
      <c r="O32" s="17" t="n">
        <v>5</v>
      </c>
    </row>
    <row r="33">
      <c r="A33" s="17" t="inlineStr">
        <is>
          <t>A32</t>
        </is>
      </c>
      <c r="B33" s="17" t="inlineStr">
        <is>
          <t>A. Água potável</t>
        </is>
      </c>
      <c r="C33" s="17" t="inlineStr">
        <is>
          <t>Torneiras e válvulas eletrônicas (com sensor) e arejadores</t>
        </is>
      </c>
      <c r="D33" s="17" t="inlineStr">
        <is>
          <t>Torneiras com sensor, solenoide e bateria; arejadores e restritores</t>
        </is>
      </c>
      <c r="E33" s="17" t="inlineStr">
        <is>
          <t>Baixa vazão e uso raro estagnam; solenoide e arejador com biofilme; bateria acabada deixa fechada. Ponto de coleta de Legionella e Pseudomonas</t>
        </is>
      </c>
      <c r="F33" s="17" t="inlineStr">
        <is>
          <t>3</t>
        </is>
      </c>
      <c r="G33" s="17" t="inlineStr">
        <is>
          <t>◻ NBR 5626:2020 (conferir)</t>
        </is>
      </c>
      <c r="H33" s="18" t="n"/>
      <c r="I33" s="13" t="n"/>
      <c r="J33" s="13" t="n"/>
      <c r="K33" s="14" t="n"/>
      <c r="L33" s="13" t="n"/>
      <c r="M33" s="17">
        <f>IF(H33="S","Existe",IF(H33="N","Não existe",IF(H33="?","PIOR CASO: tratar como sem proteção","Não preenchido")))</f>
        <v/>
      </c>
      <c r="N33" s="17">
        <f>IF(H33="?","VISTORIAR",IF(H33="","A PREENCHER",""))</f>
        <v/>
      </c>
      <c r="O33" s="17" t="n">
        <v>3</v>
      </c>
    </row>
    <row r="34">
      <c r="A34" s="17" t="inlineStr">
        <is>
          <t>A33</t>
        </is>
      </c>
      <c r="B34" s="17" t="inlineStr">
        <is>
          <t>A. Água potável</t>
        </is>
      </c>
      <c r="C34" s="17" t="inlineStr">
        <is>
          <t>Válvulas de descarga, caixas acopladas e mictórios</t>
        </is>
      </c>
      <c r="D34" s="17" t="inlineStr">
        <is>
          <t>Válvula de descarga hidromecânica, caixa acoplada, mictório com ou sem água</t>
        </is>
      </c>
      <c r="E34" s="17" t="inlineStr">
        <is>
          <t>Válvula de descarga sem quebra-vácuo, ligada ao vaso, retrossifona em queda de pressão; selo hídrico seco em mictório sem água</t>
        </is>
      </c>
      <c r="F34" s="17" t="inlineStr">
        <is>
          <t>1,7</t>
        </is>
      </c>
      <c r="G34" s="17" t="inlineStr">
        <is>
          <t>◻ NBR 5626:2020 (conferir)</t>
        </is>
      </c>
      <c r="H34" s="18" t="n"/>
      <c r="I34" s="13" t="n"/>
      <c r="J34" s="13" t="n"/>
      <c r="K34" s="14" t="n"/>
      <c r="L34" s="13" t="n"/>
      <c r="M34" s="17">
        <f>IF(H34="S","Existe",IF(H34="N","Não existe",IF(H34="?","PIOR CASO: tratar como sem proteção","Não preenchido")))</f>
        <v/>
      </c>
      <c r="N34" s="17">
        <f>IF(H34="?","VISTORIAR",IF(H34="","A PREENCHER",""))</f>
        <v/>
      </c>
      <c r="O34" s="17" t="n">
        <v>3</v>
      </c>
    </row>
    <row r="35">
      <c r="A35" s="17" t="inlineStr">
        <is>
          <t>A34</t>
        </is>
      </c>
      <c r="B35" s="17" t="inlineStr">
        <is>
          <t>A. Água potável</t>
        </is>
      </c>
      <c r="C35" s="17" t="inlineStr">
        <is>
          <t>Bebedouros refrigerados e purificadores (ponto de uso)</t>
        </is>
      </c>
      <c r="D35" s="17" t="inlineStr">
        <is>
          <t>Bebedouro de pressão, bebedouro industrial, purificador com filtro</t>
        </is>
      </c>
      <c r="E35" s="17" t="inlineStr">
        <is>
          <t>Filtro vencido; reservatório de gelo ou de água fria com biofilme; água de dreno ligada ao esgoto sem folga; ponto de reúso do rejeito (ver B5)</t>
        </is>
      </c>
      <c r="F35" s="17" t="inlineStr">
        <is>
          <t>3</t>
        </is>
      </c>
      <c r="G35" s="17" t="inlineStr">
        <is>
          <t>◻ NBR 5626:2020 (conferir)</t>
        </is>
      </c>
      <c r="H35" s="18" t="n"/>
      <c r="I35" s="13" t="n"/>
      <c r="J35" s="13" t="n"/>
      <c r="K35" s="14" t="n"/>
      <c r="L35" s="13" t="n"/>
      <c r="M35" s="17">
        <f>IF(H35="S","Existe",IF(H35="N","Não existe",IF(H35="?","PIOR CASO: tratar como sem proteção","Não preenchido")))</f>
        <v/>
      </c>
      <c r="N35" s="17">
        <f>IF(H35="?","VISTORIAR",IF(H35="","A PREENCHER",""))</f>
        <v/>
      </c>
      <c r="O35" s="17" t="n">
        <v>3</v>
      </c>
    </row>
    <row r="36">
      <c r="A36" s="17" t="inlineStr">
        <is>
          <t>A35</t>
        </is>
      </c>
      <c r="B36" s="17" t="inlineStr">
        <is>
          <t>A. Água potável</t>
        </is>
      </c>
      <c r="C36" s="17" t="inlineStr">
        <is>
          <t>Torneiras com rosca para mangueira (jardim, serviço, garagem, casa de máquinas)</t>
        </is>
      </c>
      <c r="D36" s="17" t="inlineStr">
        <is>
          <t>Torneira de jardim, ponto de lavagem de piso, ponto de serviço, ponto na sala de máquinas</t>
        </is>
      </c>
      <c r="E36" s="17" t="inlineStr">
        <is>
          <t>A mangueira é a interligação mais comum: ligada em tanque, balde, circuito ou produto, retrossifona; deixada conectada vira jumper (H13). Foi o mecanismo do episódio 2</t>
        </is>
      </c>
      <c r="F36" s="17" t="inlineStr">
        <is>
          <t>1,3</t>
        </is>
      </c>
      <c r="G36" s="17" t="inlineStr">
        <is>
          <t>✔ NBR 5626:2020 (proteção contra refluxo em pontos de uso; cláusula a ler)</t>
        </is>
      </c>
      <c r="H36" s="18" t="n"/>
      <c r="I36" s="13" t="n"/>
      <c r="J36" s="13" t="n"/>
      <c r="K36" s="14" t="n"/>
      <c r="L36" s="13" t="n"/>
      <c r="M36" s="17">
        <f>IF(H36="S","Existe",IF(H36="N","Não existe",IF(H36="?","PIOR CASO: tratar como sem proteção","Não preenchido")))</f>
        <v/>
      </c>
      <c r="N36" s="17">
        <f>IF(H36="?","VISTORIAR",IF(H36="","A PREENCHER",""))</f>
        <v/>
      </c>
      <c r="O36" s="17" t="n">
        <v>3</v>
      </c>
    </row>
    <row r="37">
      <c r="A37" s="17" t="inlineStr">
        <is>
          <t>A36</t>
        </is>
      </c>
      <c r="B37" s="17" t="inlineStr">
        <is>
          <t>A. Água potável</t>
        </is>
      </c>
      <c r="C37" s="17" t="inlineStr">
        <is>
          <t>Filtros de linha (areia, carvão, cartucho, multimídia) e abrandador</t>
        </is>
      </c>
      <c r="D37" s="17" t="inlineStr">
        <is>
          <t>Filtros na entrada do prédio, no ponto de uso e na água de processo; resina</t>
        </is>
      </c>
      <c r="E37" s="17" t="inlineStr">
        <is>
          <t>Filtro saturado vira fonte de bactérias; retrolavagem com descarga direta ao esgoto sem folga; resina esgotada; sem troca de cartucho</t>
        </is>
      </c>
      <c r="F37" s="17" t="inlineStr">
        <is>
          <t>3</t>
        </is>
      </c>
      <c r="G37" s="17" t="inlineStr">
        <is>
          <t>◻ Portaria 888/2021 (padrão; conferir)</t>
        </is>
      </c>
      <c r="H37" s="18" t="n"/>
      <c r="I37" s="13" t="n"/>
      <c r="J37" s="13" t="n"/>
      <c r="K37" s="14" t="n"/>
      <c r="L37" s="13" t="n"/>
      <c r="M37" s="17">
        <f>IF(H37="S","Existe",IF(H37="N","Não existe",IF(H37="?","PIOR CASO: tratar como sem proteção","Não preenchido")))</f>
        <v/>
      </c>
      <c r="N37" s="17">
        <f>IF(H37="?","VISTORIAR",IF(H37="","A PREENCHER",""))</f>
        <v/>
      </c>
      <c r="O37" s="17" t="n">
        <v>4</v>
      </c>
    </row>
    <row r="38">
      <c r="A38" s="17" t="inlineStr">
        <is>
          <t>A37</t>
        </is>
      </c>
      <c r="B38" s="17" t="inlineStr">
        <is>
          <t>A. Água potável</t>
        </is>
      </c>
      <c r="C38" s="17" t="inlineStr">
        <is>
          <t>Clorador e dosador de hipoclorito em potável</t>
        </is>
      </c>
      <c r="D38" s="17" t="inlineStr">
        <is>
          <t>Bomba dosadora, pastilha, clorador em linha, tanque de hipoclorito</t>
        </is>
      </c>
      <c r="E38" s="17" t="inlineStr">
        <is>
          <t>Dosagem baixa, residual nulo; dosagem alta; tanque de produto sem contenção; bomba parada sem alarme</t>
        </is>
      </c>
      <c r="F38" s="17" t="inlineStr">
        <is>
          <t>3</t>
        </is>
      </c>
      <c r="G38" s="17" t="inlineStr">
        <is>
          <t>✔ Portaria 888/2021 (desinfecção e residual)</t>
        </is>
      </c>
      <c r="H38" s="18" t="n"/>
      <c r="I38" s="13" t="n"/>
      <c r="J38" s="13" t="n"/>
      <c r="K38" s="14" t="n"/>
      <c r="L38" s="13" t="n"/>
      <c r="M38" s="17">
        <f>IF(H38="S","Existe",IF(H38="N","Não existe",IF(H38="?","PIOR CASO: tratar como sem proteção","Não preenchido")))</f>
        <v/>
      </c>
      <c r="N38" s="17">
        <f>IF(H38="?","VISTORIAR",IF(H38="","A PREENCHER",""))</f>
        <v/>
      </c>
      <c r="O38" s="17" t="n">
        <v>4</v>
      </c>
    </row>
    <row r="39">
      <c r="A39" s="17" t="inlineStr">
        <is>
          <t>A38</t>
        </is>
      </c>
      <c r="B39" s="17" t="inlineStr">
        <is>
          <t>A. Água potável</t>
        </is>
      </c>
      <c r="C39" s="17" t="inlineStr">
        <is>
          <t>Lâmpada UV em potável</t>
        </is>
      </c>
      <c r="D39" s="17" t="inlineStr">
        <is>
          <t>Câmara UV em linha, sensor, quadro</t>
        </is>
      </c>
      <c r="E39" s="17" t="inlineStr">
        <is>
          <t>Lâmpada vencida ou câmara suja; UV não deixa residual na rede: depois da câmara a água volta a contaminar; falha de energia</t>
        </is>
      </c>
      <c r="F39" s="17" t="inlineStr">
        <is>
          <t>3,5</t>
        </is>
      </c>
      <c r="G39" s="17" t="inlineStr">
        <is>
          <t>◻ —</t>
        </is>
      </c>
      <c r="H39" s="18" t="n"/>
      <c r="I39" s="13" t="n"/>
      <c r="J39" s="13" t="n"/>
      <c r="K39" s="14" t="n"/>
      <c r="L39" s="13" t="n"/>
      <c r="M39" s="17">
        <f>IF(H39="S","Existe",IF(H39="N","Não existe",IF(H39="?","PIOR CASO: tratar como sem proteção","Não preenchido")))</f>
        <v/>
      </c>
      <c r="N39" s="17">
        <f>IF(H39="?","VISTORIAR",IF(H39="","A PREENCHER",""))</f>
        <v/>
      </c>
      <c r="O39" s="17" t="n">
        <v>4</v>
      </c>
    </row>
    <row r="40">
      <c r="A40" s="17" t="inlineStr">
        <is>
          <t>A39</t>
        </is>
      </c>
      <c r="B40" s="17" t="inlineStr">
        <is>
          <t>A. Água potável</t>
        </is>
      </c>
      <c r="C40" s="17" t="inlineStr">
        <is>
          <t>Osmose reversa e deionização (potável ou processo)</t>
        </is>
      </c>
      <c r="D40" s="17" t="inlineStr">
        <is>
          <t>Osmose reversa, resina de troca iônica, tanque de permeado</t>
        </is>
      </c>
      <c r="E40" s="17" t="inlineStr">
        <is>
          <t>Membrana ou resina contaminada; permeado parado no tanque estagna; rejeito sem destino ou ligado à rede sem folga; DI sem residual</t>
        </is>
      </c>
      <c r="F40" s="17" t="inlineStr">
        <is>
          <t>3</t>
        </is>
      </c>
      <c r="G40" s="17" t="inlineStr">
        <is>
          <t>◻ —</t>
        </is>
      </c>
      <c r="H40" s="18" t="n"/>
      <c r="I40" s="13" t="n"/>
      <c r="J40" s="13" t="n"/>
      <c r="K40" s="14" t="n"/>
      <c r="L40" s="13" t="n"/>
      <c r="M40" s="17">
        <f>IF(H40="S","Existe",IF(H40="N","Não existe",IF(H40="?","PIOR CASO: tratar como sem proteção","Não preenchido")))</f>
        <v/>
      </c>
      <c r="N40" s="17">
        <f>IF(H40="?","VISTORIAR",IF(H40="","A PREENCHER",""))</f>
        <v/>
      </c>
      <c r="O40" s="17" t="n">
        <v>4</v>
      </c>
    </row>
    <row r="41">
      <c r="A41" s="17" t="inlineStr">
        <is>
          <t>A40</t>
        </is>
      </c>
      <c r="B41" s="17" t="inlineStr">
        <is>
          <t>A. Água potável</t>
        </is>
      </c>
      <c r="C41" s="17" t="inlineStr">
        <is>
          <t>Tubulações de potável enterradas, em canaleta, trincheira ou compartilhando shaft com outros sistemas</t>
        </is>
      </c>
      <c r="D41" s="17" t="inlineStr">
        <is>
          <t>Ramais enterrados em pátio logístico; potável na mesma canaleta de esgoto, pluvial ou químico</t>
        </is>
      </c>
      <c r="E41" s="17" t="inlineStr">
        <is>
          <t>Em baixa pressão a rede aspira do solo ou da canaleta pelas juntas e furos; vazamento escondido sob piso; escavação rompe</t>
        </is>
      </c>
      <c r="F41" s="17" t="inlineStr">
        <is>
          <t>1,3,4</t>
        </is>
      </c>
      <c r="G41" s="17" t="inlineStr">
        <is>
          <t>◻ NBR 5626:2020 (conferir)</t>
        </is>
      </c>
      <c r="H41" s="18" t="n"/>
      <c r="I41" s="13" t="n"/>
      <c r="J41" s="13" t="n"/>
      <c r="K41" s="14" t="n"/>
      <c r="L41" s="13" t="n"/>
      <c r="M41" s="17">
        <f>IF(H41="S","Existe",IF(H41="N","Não existe",IF(H41="?","PIOR CASO: tratar como sem proteção","Não preenchido")))</f>
        <v/>
      </c>
      <c r="N41" s="17">
        <f>IF(H41="?","VISTORIAR",IF(H41="","A PREENCHER",""))</f>
        <v/>
      </c>
      <c r="O41" s="17" t="n">
        <v>3</v>
      </c>
    </row>
    <row r="42">
      <c r="A42" s="17" t="inlineStr">
        <is>
          <t>A41</t>
        </is>
      </c>
      <c r="B42" s="17" t="inlineStr">
        <is>
          <t>A. Água potável</t>
        </is>
      </c>
      <c r="C42" s="17" t="inlineStr">
        <is>
          <t>Derivações para equipamentos de locatários</t>
        </is>
      </c>
      <c r="D42" s="17" t="inlineStr">
        <is>
          <t>Pontos que o locatário liga a máquinas (lava-louças, máquina de gelo, osmose, lavadora, resfriador, bomba de pressurização própria)</t>
        </is>
      </c>
      <c r="E42" s="17" t="inlineStr">
        <is>
          <t>Pressurizador do locatário gera contrapressão na rede comum; equipamento sem dispositivo; mudança feita sem avisar o condomínio</t>
        </is>
      </c>
      <c r="F42" s="17" t="inlineStr">
        <is>
          <t>1,3</t>
        </is>
      </c>
      <c r="G42" s="17" t="inlineStr">
        <is>
          <t>✔ NBR 5626:2020 (proteção contra refluxo; cláusula a ler)</t>
        </is>
      </c>
      <c r="H42" s="18" t="n"/>
      <c r="I42" s="13" t="n"/>
      <c r="J42" s="13" t="n"/>
      <c r="K42" s="14" t="n"/>
      <c r="L42" s="13" t="n"/>
      <c r="M42" s="17">
        <f>IF(H42="S","Existe",IF(H42="N","Não existe",IF(H42="?","PIOR CASO: tratar como sem proteção","Não preenchido")))</f>
        <v/>
      </c>
      <c r="N42" s="17">
        <f>IF(H42="?","VISTORIAR",IF(H42="","A PREENCHER",""))</f>
        <v/>
      </c>
      <c r="O42" s="17" t="n">
        <v>3</v>
      </c>
    </row>
    <row r="43">
      <c r="A43" s="17" t="inlineStr">
        <is>
          <t>A42</t>
        </is>
      </c>
      <c r="B43" s="17" t="inlineStr">
        <is>
          <t>A. Água potável</t>
        </is>
      </c>
      <c r="C43" s="17" t="inlineStr">
        <is>
          <t>Ligações provisórias de obra e reforma</t>
        </is>
      </c>
      <c r="D43" s="17" t="inlineStr">
        <is>
          <t>Mangueiras, "gambiarras" e pontos temporários de obra, betoneira, lavagem de piso</t>
        </is>
      </c>
      <c r="E43" s="17" t="inlineStr">
        <is>
          <t>Mangueira conectada a tanque com produto ou a balde; ponto provisório que vira definitivo; sem registro de fechamento</t>
        </is>
      </c>
      <c r="F43" s="17" t="inlineStr">
        <is>
          <t>1,3</t>
        </is>
      </c>
      <c r="G43" s="17" t="inlineStr">
        <is>
          <t>◻ —</t>
        </is>
      </c>
      <c r="H43" s="18" t="n"/>
      <c r="I43" s="13" t="n"/>
      <c r="J43" s="13" t="n"/>
      <c r="K43" s="14" t="n"/>
      <c r="L43" s="13" t="n"/>
      <c r="M43" s="17">
        <f>IF(H43="S","Existe",IF(H43="N","Não existe",IF(H43="?","PIOR CASO: tratar como sem proteção","Não preenchido")))</f>
        <v/>
      </c>
      <c r="N43" s="17">
        <f>IF(H43="?","VISTORIAR",IF(H43="","A PREENCHER",""))</f>
        <v/>
      </c>
      <c r="O43" s="17" t="n">
        <v>3</v>
      </c>
    </row>
    <row r="44">
      <c r="A44" s="17" t="inlineStr">
        <is>
          <t>A43</t>
        </is>
      </c>
      <c r="B44" s="17" t="inlineStr">
        <is>
          <t>A. Água potável</t>
        </is>
      </c>
      <c r="C44" s="17" t="inlineStr">
        <is>
          <t>Pontos de descarga (flushing) e drenos de fim de rede</t>
        </is>
      </c>
      <c r="D44" s="17" t="inlineStr">
        <is>
          <t>Registro de descarga e dreno no fim de prumadas e ramais</t>
        </is>
      </c>
      <c r="E44" s="17" t="inlineStr">
        <is>
          <t>Não existem (trecho nunca é renovado) ou nunca são abertos; dreno ligado ao esgoto sem folga</t>
        </is>
      </c>
      <c r="F44" s="17" t="inlineStr">
        <is>
          <t>3,7</t>
        </is>
      </c>
      <c r="G44" s="17" t="inlineStr">
        <is>
          <t>✔ NBR 5626:2020 (geral)</t>
        </is>
      </c>
      <c r="H44" s="18" t="n"/>
      <c r="I44" s="13" t="n"/>
      <c r="J44" s="13" t="n"/>
      <c r="K44" s="14" t="n"/>
      <c r="L44" s="13" t="n"/>
      <c r="M44" s="17">
        <f>IF(H44="S","Existe",IF(H44="N","Não existe",IF(H44="?","PIOR CASO: tratar como sem proteção","Não preenchido")))</f>
        <v/>
      </c>
      <c r="N44" s="17">
        <f>IF(H44="?","VISTORIAR",IF(H44="","A PREENCHER",""))</f>
        <v/>
      </c>
      <c r="O44" s="17" t="n">
        <v>3</v>
      </c>
    </row>
    <row r="45">
      <c r="A45" s="17" t="inlineStr">
        <is>
          <t>B1</t>
        </is>
      </c>
      <c r="B45" s="17" t="inlineStr">
        <is>
          <t>B. Não potável / alternativas</t>
        </is>
      </c>
      <c r="C45" s="17" t="inlineStr">
        <is>
          <t>Água de reúso</t>
        </is>
      </c>
      <c r="D45" s="17" t="inlineStr">
        <is>
          <t>Água cinza ou efluente tratado reaproveitado (descarga, irrigação, lavagem). Foi o episódio 1</t>
        </is>
      </c>
      <c r="E45" s="17" t="inlineStr">
        <is>
          <t>Interligação com potável na obra; tubulação sem identificação visual; ponto de uso confundido com potável; reposição por potável sem folga de ar (ver B8)</t>
        </is>
      </c>
      <c r="F45" s="17" t="inlineStr">
        <is>
          <t>1,3</t>
        </is>
      </c>
      <c r="G45" s="17" t="inlineStr">
        <is>
          <t>✔ NBR 16783:2019 · ✔ Resolução CNRH 54/2005 (reúso direto não potável; ◻ ler a modalidade aplicável)</t>
        </is>
      </c>
      <c r="H45" s="18" t="n"/>
      <c r="I45" s="13" t="n"/>
      <c r="J45" s="13" t="n"/>
      <c r="K45" s="14" t="n"/>
      <c r="L45" s="13" t="n"/>
      <c r="M45" s="17">
        <f>IF(H45="S","Existe",IF(H45="N","Não existe",IF(H45="?","PIOR CASO: tratar como sem proteção","Não preenchido")))</f>
        <v/>
      </c>
      <c r="N45" s="17">
        <f>IF(H45="?","VISTORIAR",IF(H45="","A PREENCHER",""))</f>
        <v/>
      </c>
      <c r="O45" s="17" t="n">
        <v>7</v>
      </c>
    </row>
    <row r="46">
      <c r="A46" s="17" t="inlineStr">
        <is>
          <t>B2</t>
        </is>
      </c>
      <c r="B46" s="17" t="inlineStr">
        <is>
          <t>B. Não potável / alternativas</t>
        </is>
      </c>
      <c r="C46" s="17" t="inlineStr">
        <is>
          <t>Água de chuva</t>
        </is>
      </c>
      <c r="D46" s="17" t="inlineStr">
        <is>
          <t>Captação em cobertura, filtro, reservatório próprio, bomba</t>
        </is>
      </c>
      <c r="E46" s="17" t="inlineStr">
        <is>
          <t>Contaminação por animais e folhas; mistura com potável na reposição; estagnação</t>
        </is>
      </c>
      <c r="F46" s="17" t="inlineStr">
        <is>
          <t>1,3,9</t>
        </is>
      </c>
      <c r="G46" s="17" t="inlineStr">
        <is>
          <t>✔ NBR 15527:2019 (aproveitamento de água de chuva de coberturas para fins não potáveis) · ✔ NBR 16783:2019</t>
        </is>
      </c>
      <c r="H46" s="18" t="n"/>
      <c r="I46" s="13" t="n"/>
      <c r="J46" s="13" t="n"/>
      <c r="K46" s="14" t="n"/>
      <c r="L46" s="13" t="n"/>
      <c r="M46" s="17">
        <f>IF(H46="S","Existe",IF(H46="N","Não existe",IF(H46="?","PIOR CASO: tratar como sem proteção","Não preenchido")))</f>
        <v/>
      </c>
      <c r="N46" s="17">
        <f>IF(H46="?","VISTORIAR",IF(H46="","A PREENCHER",""))</f>
        <v/>
      </c>
      <c r="O46" s="17" t="n">
        <v>7</v>
      </c>
    </row>
    <row r="47">
      <c r="A47" s="17" t="inlineStr">
        <is>
          <t>B3</t>
        </is>
      </c>
      <c r="B47" s="17" t="inlineStr">
        <is>
          <t>B. Não potável / alternativas</t>
        </is>
      </c>
      <c r="C47" s="17" t="inlineStr">
        <is>
          <t>Água de rebaixamento de lençol</t>
        </is>
      </c>
      <c r="D47" s="17" t="inlineStr">
        <is>
          <t>Drenagem de subsolo reaproveitada</t>
        </is>
      </c>
      <c r="E47" s="17" t="inlineStr">
        <is>
          <t>Qualidade variável (ferro, hidrocarboneto, sal); sem tratamento; mistura com potável</t>
        </is>
      </c>
      <c r="F47" s="17" t="inlineStr">
        <is>
          <t>1,3</t>
        </is>
      </c>
      <c r="G47" s="17" t="inlineStr">
        <is>
          <t>✔ NBR 16783:2019</t>
        </is>
      </c>
      <c r="H47" s="18" t="n"/>
      <c r="I47" s="13" t="n"/>
      <c r="J47" s="13" t="n"/>
      <c r="K47" s="14" t="n"/>
      <c r="L47" s="13" t="n"/>
      <c r="M47" s="17">
        <f>IF(H47="S","Existe",IF(H47="N","Não existe",IF(H47="?","PIOR CASO: tratar como sem proteção","Não preenchido")))</f>
        <v/>
      </c>
      <c r="N47" s="17">
        <f>IF(H47="?","VISTORIAR",IF(H47="","A PREENCHER",""))</f>
        <v/>
      </c>
      <c r="O47" s="17" t="n">
        <v>7</v>
      </c>
    </row>
    <row r="48">
      <c r="A48" s="17" t="inlineStr">
        <is>
          <t>B4</t>
        </is>
      </c>
      <c r="B48" s="17" t="inlineStr">
        <is>
          <t>B. Não potável / alternativas</t>
        </is>
      </c>
      <c r="C48" s="17" t="inlineStr">
        <is>
          <t>Condensado de ar-condicionado</t>
        </is>
      </c>
      <c r="D48" s="17" t="inlineStr">
        <is>
          <t>Água dos drenos de fancoils e splits reaproveitada</t>
        </is>
      </c>
      <c r="E48" s="17" t="inlineStr">
        <is>
          <t>Contaminação microbiológica e metálica; ponto de reaproveitamento sem barreira</t>
        </is>
      </c>
      <c r="F48" s="17" t="inlineStr">
        <is>
          <t>1,3</t>
        </is>
      </c>
      <c r="G48" s="17" t="inlineStr">
        <is>
          <t>✔ NBR 16783:2019 (escopo geral; ◻ confirmar se cita condensado)</t>
        </is>
      </c>
      <c r="H48" s="18" t="n"/>
      <c r="I48" s="13" t="n"/>
      <c r="J48" s="13" t="n"/>
      <c r="K48" s="14" t="n"/>
      <c r="L48" s="13" t="n"/>
      <c r="M48" s="17">
        <f>IF(H48="S","Existe",IF(H48="N","Não existe",IF(H48="?","PIOR CASO: tratar como sem proteção","Não preenchido")))</f>
        <v/>
      </c>
      <c r="N48" s="17">
        <f>IF(H48="?","VISTORIAR",IF(H48="","A PREENCHER",""))</f>
        <v/>
      </c>
      <c r="O48" s="17" t="n">
        <v>7</v>
      </c>
    </row>
    <row r="49">
      <c r="A49" s="17" t="inlineStr">
        <is>
          <t>B5</t>
        </is>
      </c>
      <c r="B49" s="17" t="inlineStr">
        <is>
          <t>B. Não potável / alternativas</t>
        </is>
      </c>
      <c r="C49" s="17" t="inlineStr">
        <is>
          <t>Rejeito de osmose reversa</t>
        </is>
      </c>
      <c r="D49" s="17" t="inlineStr">
        <is>
          <t>Concentrado salino dos tratamentos A34 e A39, descartado ou reaproveitado</t>
        </is>
      </c>
      <c r="E49" s="17" t="inlineStr">
        <is>
          <t>Reaproveitamento sem avaliar sal e químicos; ponto do rejeito ligado ao potável</t>
        </is>
      </c>
      <c r="F49" s="17" t="inlineStr">
        <is>
          <t>1,3</t>
        </is>
      </c>
      <c r="G49" s="17" t="inlineStr">
        <is>
          <t>◻ —</t>
        </is>
      </c>
      <c r="H49" s="18" t="n"/>
      <c r="I49" s="13" t="n"/>
      <c r="J49" s="13" t="n"/>
      <c r="K49" s="14" t="n"/>
      <c r="L49" s="13" t="n"/>
      <c r="M49" s="17">
        <f>IF(H49="S","Existe",IF(H49="N","Não existe",IF(H49="?","PIOR CASO: tratar como sem proteção","Não preenchido")))</f>
        <v/>
      </c>
      <c r="N49" s="17">
        <f>IF(H49="?","VISTORIAR",IF(H49="","A PREENCHER",""))</f>
        <v/>
      </c>
      <c r="O49" s="17" t="n">
        <v>7</v>
      </c>
    </row>
    <row r="50">
      <c r="A50" s="17" t="inlineStr">
        <is>
          <t>B6</t>
        </is>
      </c>
      <c r="B50" s="17" t="inlineStr">
        <is>
          <t>B. Não potável / alternativas</t>
        </is>
      </c>
      <c r="C50" s="17" t="inlineStr">
        <is>
          <t>Pontos de uso não potável</t>
        </is>
      </c>
      <c r="D50" s="17" t="inlineStr">
        <is>
          <t>Torneiras de jardim, lavagem de piso, descarga com reúso</t>
        </is>
      </c>
      <c r="E50" s="17" t="inlineStr">
        <is>
          <t>Ponto sem placa e cor; ocupante bebe ou lava algo sensível</t>
        </is>
      </c>
      <c r="F50" s="17" t="inlineStr">
        <is>
          <t>1,3</t>
        </is>
      </c>
      <c r="G50" s="17" t="inlineStr">
        <is>
          <t>✔ NBR 16783:2019 (diferenciação visual dos pontos)</t>
        </is>
      </c>
      <c r="H50" s="18" t="n"/>
      <c r="I50" s="13" t="n"/>
      <c r="J50" s="13" t="n"/>
      <c r="K50" s="14" t="n"/>
      <c r="L50" s="13" t="n"/>
      <c r="M50" s="17">
        <f>IF(H50="S","Existe",IF(H50="N","Não existe",IF(H50="?","PIOR CASO: tratar como sem proteção","Não preenchido")))</f>
        <v/>
      </c>
      <c r="N50" s="17">
        <f>IF(H50="?","VISTORIAR",IF(H50="","A PREENCHER",""))</f>
        <v/>
      </c>
      <c r="O50" s="17" t="n">
        <v>7</v>
      </c>
    </row>
    <row r="51">
      <c r="A51" s="17" t="inlineStr">
        <is>
          <t>B7</t>
        </is>
      </c>
      <c r="B51" s="17" t="inlineStr">
        <is>
          <t>B. Não potável / alternativas</t>
        </is>
      </c>
      <c r="C51" s="17" t="inlineStr">
        <is>
          <t>Cisterna / reservatório de reúso ou de chuva</t>
        </is>
      </c>
      <c r="D51" s="17" t="inlineStr">
        <is>
          <t>Tanque próprio de armazenamento do não potável, no subsolo ou na cobertura</t>
        </is>
      </c>
      <c r="E51" s="17" t="inlineStr">
        <is>
          <t>Tampa aberta; ladrão ligado ao esgoto; vizinho do reservatório potável com parede comum furada; estagnação e odor</t>
        </is>
      </c>
      <c r="F51" s="17" t="inlineStr">
        <is>
          <t>1,3,9</t>
        </is>
      </c>
      <c r="G51" s="17" t="inlineStr">
        <is>
          <t>✔ NBR 16783:2019 · ✔ NBR 15527:2019</t>
        </is>
      </c>
      <c r="H51" s="18" t="n"/>
      <c r="I51" s="13" t="n"/>
      <c r="J51" s="13" t="n"/>
      <c r="K51" s="14" t="n"/>
      <c r="L51" s="13" t="n"/>
      <c r="M51" s="17">
        <f>IF(H51="S","Existe",IF(H51="N","Não existe",IF(H51="?","PIOR CASO: tratar como sem proteção","Não preenchido")))</f>
        <v/>
      </c>
      <c r="N51" s="17">
        <f>IF(H51="?","VISTORIAR",IF(H51="","A PREENCHER",""))</f>
        <v/>
      </c>
      <c r="O51" s="17" t="n">
        <v>7</v>
      </c>
    </row>
    <row r="52">
      <c r="A52" s="17" t="inlineStr">
        <is>
          <t>B8</t>
        </is>
      </c>
      <c r="B52" s="17" t="inlineStr">
        <is>
          <t>B. Não potável / alternativas</t>
        </is>
      </c>
      <c r="C52" s="17" t="inlineStr">
        <is>
          <t>Complementação automática do reúso/chuva com água potável</t>
        </is>
      </c>
      <c r="D52" s="17" t="inlineStr">
        <is>
          <t>Boia, solenoide ou by-pass que repõe a cisterna não potável com potável quando falta reúso</t>
        </is>
      </c>
      <c r="E52" s="17" t="inlineStr">
        <is>
          <t>Interligação direta intencional: sem separação atmosférica, a pressão do reúso ou o sifão leva o não potável à rede. Boia presa ou by-pass aberto</t>
        </is>
      </c>
      <c r="F52" s="17" t="inlineStr">
        <is>
          <t>1,2</t>
        </is>
      </c>
      <c r="G52" s="17" t="inlineStr">
        <is>
          <t>✔ NBR 16783:2019 (alimentação complementar; ◻ cláusula) · ✔ NBR 5626:2020 (separação atmosférica)</t>
        </is>
      </c>
      <c r="H52" s="18" t="n"/>
      <c r="I52" s="13" t="n"/>
      <c r="J52" s="13" t="n"/>
      <c r="K52" s="14" t="n"/>
      <c r="L52" s="13" t="n"/>
      <c r="M52" s="17">
        <f>IF(H52="S","Existe",IF(H52="N","Não existe",IF(H52="?","PIOR CASO: tratar como sem proteção","Não preenchido")))</f>
        <v/>
      </c>
      <c r="N52" s="17">
        <f>IF(H52="?","VISTORIAR",IF(H52="","A PREENCHER",""))</f>
        <v/>
      </c>
      <c r="O52" s="17" t="n">
        <v>7</v>
      </c>
    </row>
    <row r="53">
      <c r="A53" s="17" t="inlineStr">
        <is>
          <t>B9</t>
        </is>
      </c>
      <c r="B53" s="17" t="inlineStr">
        <is>
          <t>B. Não potável / alternativas</t>
        </is>
      </c>
      <c r="C53" s="17" t="inlineStr">
        <is>
          <t>Descarte da primeira chuva (first flush), filtros e telas da captação</t>
        </is>
      </c>
      <c r="D53" s="17" t="inlineStr">
        <is>
          <t>Dispositivo que descarta o início da chuva; filtro de folhas; tela do reservatório</t>
        </is>
      </c>
      <c r="E53" s="17" t="inlineStr">
        <is>
          <t>Dispositivo entupido ou sem manutenção; descarte ligado ao esgoto sem folga; filtro saturado</t>
        </is>
      </c>
      <c r="F53" s="17" t="inlineStr">
        <is>
          <t>3,9</t>
        </is>
      </c>
      <c r="G53" s="17" t="inlineStr">
        <is>
          <t>✔ NBR 15527:2019 (pré-tratamento; ◻ cláusula)</t>
        </is>
      </c>
      <c r="H53" s="18" t="n"/>
      <c r="I53" s="13" t="n"/>
      <c r="J53" s="13" t="n"/>
      <c r="K53" s="14" t="n"/>
      <c r="L53" s="13" t="n"/>
      <c r="M53" s="17">
        <f>IF(H53="S","Existe",IF(H53="N","Não existe",IF(H53="?","PIOR CASO: tratar como sem proteção","Não preenchido")))</f>
        <v/>
      </c>
      <c r="N53" s="17">
        <f>IF(H53="?","VISTORIAR",IF(H53="","A PREENCHER",""))</f>
        <v/>
      </c>
      <c r="O53" s="17" t="n">
        <v>7</v>
      </c>
    </row>
    <row r="54">
      <c r="A54" s="17" t="inlineStr">
        <is>
          <t>B10</t>
        </is>
      </c>
      <c r="B54" s="17" t="inlineStr">
        <is>
          <t>B. Não potável / alternativas</t>
        </is>
      </c>
      <c r="C54" s="17" t="inlineStr">
        <is>
          <t>Bomba e rede (prumada) exclusiva de reúso/chuva</t>
        </is>
      </c>
      <c r="D54" s="17" t="inlineStr">
        <is>
          <t>Recalque e prumada paralelas à de potável, com cor e identificação</t>
        </is>
      </c>
      <c r="E54" s="17" t="inlineStr">
        <is>
          <t>Prumada ligada ao potável no andar por erro de obra; flexível provisório entre prumadas; identificação apagada</t>
        </is>
      </c>
      <c r="F54" s="17" t="inlineStr">
        <is>
          <t>1</t>
        </is>
      </c>
      <c r="G54" s="17" t="inlineStr">
        <is>
          <t>✔ NBR 16783:2019 (identificação)</t>
        </is>
      </c>
      <c r="H54" s="18" t="n"/>
      <c r="I54" s="13" t="n"/>
      <c r="J54" s="13" t="n"/>
      <c r="K54" s="14" t="n"/>
      <c r="L54" s="13" t="n"/>
      <c r="M54" s="17">
        <f>IF(H54="S","Existe",IF(H54="N","Não existe",IF(H54="?","PIOR CASO: tratar como sem proteção","Não preenchido")))</f>
        <v/>
      </c>
      <c r="N54" s="17">
        <f>IF(H54="?","VISTORIAR",IF(H54="","A PREENCHER",""))</f>
        <v/>
      </c>
      <c r="O54" s="17" t="n">
        <v>7</v>
      </c>
    </row>
    <row r="55">
      <c r="A55" s="17" t="inlineStr">
        <is>
          <t>B11</t>
        </is>
      </c>
      <c r="B55" s="17" t="inlineStr">
        <is>
          <t>B. Não potável / alternativas</t>
        </is>
      </c>
      <c r="C55" s="17" t="inlineStr">
        <is>
          <t>Tratamento do reúso (cloração, UV, filtros) e controle de qualidade</t>
        </is>
      </c>
      <c r="D55" s="17" t="inlineStr">
        <is>
          <t>Dosagem, câmara UV, filtros, medição de cloro e turbidez</t>
        </is>
      </c>
      <c r="E55" s="17" t="inlineStr">
        <is>
          <t>Residual baixo; filtro saturado; água sem controle chega a descargas e lavagens (aerossol)</t>
        </is>
      </c>
      <c r="F55" s="17" t="inlineStr">
        <is>
          <t>3</t>
        </is>
      </c>
      <c r="G55" s="17" t="inlineStr">
        <is>
          <t>✔ NBR 16783:2019 (parâmetros de qualidade; ◻ cláusula)</t>
        </is>
      </c>
      <c r="H55" s="18" t="n"/>
      <c r="I55" s="13" t="n"/>
      <c r="J55" s="13" t="n"/>
      <c r="K55" s="14" t="n"/>
      <c r="L55" s="13" t="n"/>
      <c r="M55" s="17">
        <f>IF(H55="S","Existe",IF(H55="N","Não existe",IF(H55="?","PIOR CASO: tratar como sem proteção","Não preenchido")))</f>
        <v/>
      </c>
      <c r="N55" s="17">
        <f>IF(H55="?","VISTORIAR",IF(H55="","A PREENCHER",""))</f>
        <v/>
      </c>
      <c r="O55" s="17" t="n">
        <v>7</v>
      </c>
    </row>
    <row r="56">
      <c r="A56" s="17" t="inlineStr">
        <is>
          <t>B12</t>
        </is>
      </c>
      <c r="B56" s="17" t="inlineStr">
        <is>
          <t>B. Não potável / alternativas</t>
        </is>
      </c>
      <c r="C56" s="17" t="inlineStr">
        <is>
          <t>Água de reúso fornecida por terceiros</t>
        </is>
      </c>
      <c r="D56" s="17" t="inlineStr">
        <is>
          <t>Reúso comprado da concessionária ou entregue em caminhão</t>
        </is>
      </c>
      <c r="E56" s="17" t="inlineStr">
        <is>
          <t>Descarregado no reservatório potável por engano; sem certificado; mangueira em ponto errado</t>
        </is>
      </c>
      <c r="F56" s="17" t="inlineStr">
        <is>
          <t>1,3,9</t>
        </is>
      </c>
      <c r="G56" s="17" t="inlineStr">
        <is>
          <t>◻ —</t>
        </is>
      </c>
      <c r="H56" s="18" t="n"/>
      <c r="I56" s="13" t="n"/>
      <c r="J56" s="13" t="n"/>
      <c r="K56" s="14" t="n"/>
      <c r="L56" s="13" t="n"/>
      <c r="M56" s="17">
        <f>IF(H56="S","Existe",IF(H56="N","Não existe",IF(H56="?","PIOR CASO: tratar como sem proteção","Não preenchido")))</f>
        <v/>
      </c>
      <c r="N56" s="17">
        <f>IF(H56="?","VISTORIAR",IF(H56="","A PREENCHER",""))</f>
        <v/>
      </c>
      <c r="O56" s="17" t="n">
        <v>7</v>
      </c>
    </row>
    <row r="57">
      <c r="A57" s="17" t="inlineStr">
        <is>
          <t>B13</t>
        </is>
      </c>
      <c r="B57" s="17" t="inlineStr">
        <is>
          <t>B. Não potável / alternativas</t>
        </is>
      </c>
      <c r="C57" s="17" t="inlineStr">
        <is>
          <t>Poço ou fonte própria usada só para fins não potáveis</t>
        </is>
      </c>
      <c r="D57" s="17" t="inlineStr">
        <is>
          <t>Poço para irrigação, lavagem ou reposição da torre; bomba própria</t>
        </is>
      </c>
      <c r="E57" s="17" t="inlineStr">
        <is>
          <t>Ligação paralela à rede potável "para quando o poço falha"; mistura de qualidades; sem análise</t>
        </is>
      </c>
      <c r="F57" s="17" t="inlineStr">
        <is>
          <t>1,3</t>
        </is>
      </c>
      <c r="G57" s="17" t="inlineStr">
        <is>
          <t>✔ Portaria 888/2021 (se for consumo humano; ◻ uso não potável) · ✔ NBR 12244:2006 (construção do poço)</t>
        </is>
      </c>
      <c r="H57" s="18" t="n"/>
      <c r="I57" s="13" t="n"/>
      <c r="J57" s="13" t="n"/>
      <c r="K57" s="14" t="n"/>
      <c r="L57" s="13" t="n"/>
      <c r="M57" s="17">
        <f>IF(H57="S","Existe",IF(H57="N","Não existe",IF(H57="?","PIOR CASO: tratar como sem proteção","Não preenchido")))</f>
        <v/>
      </c>
      <c r="N57" s="17">
        <f>IF(H57="?","VISTORIAR",IF(H57="","A PREENCHER",""))</f>
        <v/>
      </c>
      <c r="O57" s="17" t="n">
        <v>7</v>
      </c>
    </row>
    <row r="58">
      <c r="A58" s="17" t="inlineStr">
        <is>
          <t>B14</t>
        </is>
      </c>
      <c r="B58" s="17" t="inlineStr">
        <is>
          <t>B. Não potável / alternativas</t>
        </is>
      </c>
      <c r="C58" s="17" t="inlineStr">
        <is>
          <t>Água cinza tratada (chuveiros, lavatórios, lavadoras)</t>
        </is>
      </c>
      <c r="D58" s="17" t="inlineStr">
        <is>
          <t>Coleta separada, tratamento, reservatório, redistribuição</t>
        </is>
      </c>
      <c r="E58" s="17" t="inlineStr">
        <is>
          <t>Mistura com esgoto negro; tratamento parado; odor e biofilme</t>
        </is>
      </c>
      <c r="F58" s="17" t="inlineStr">
        <is>
          <t>3</t>
        </is>
      </c>
      <c r="G58" s="17" t="inlineStr">
        <is>
          <t>✔ NBR 16783:2019</t>
        </is>
      </c>
      <c r="H58" s="18" t="n"/>
      <c r="I58" s="13" t="n"/>
      <c r="J58" s="13" t="n"/>
      <c r="K58" s="14" t="n"/>
      <c r="L58" s="13" t="n"/>
      <c r="M58" s="17">
        <f>IF(H58="S","Existe",IF(H58="N","Não existe",IF(H58="?","PIOR CASO: tratar como sem proteção","Não preenchido")))</f>
        <v/>
      </c>
      <c r="N58" s="17">
        <f>IF(H58="?","VISTORIAR",IF(H58="","A PREENCHER",""))</f>
        <v/>
      </c>
      <c r="O58" s="17" t="n">
        <v>7</v>
      </c>
    </row>
    <row r="59">
      <c r="A59" s="17" t="inlineStr">
        <is>
          <t>B15</t>
        </is>
      </c>
      <c r="B59" s="17" t="inlineStr">
        <is>
          <t>B. Não potável / alternativas</t>
        </is>
      </c>
      <c r="C59" s="17" t="inlineStr">
        <is>
          <t>Purga da torre ou do circuito reaproveitada</t>
        </is>
      </c>
      <c r="D59" s="17" t="inlineStr">
        <is>
          <t>Purga de torre ou de chiller usada em irrigação, lavagem ou descarga</t>
        </is>
      </c>
      <c r="E59" s="17" t="inlineStr">
        <is>
          <t>Biocida e inibidor chegam à planta e ao ocupante; Legionella em aerossol da irrigação; ligação ao potável</t>
        </is>
      </c>
      <c r="F59" s="17" t="inlineStr">
        <is>
          <t>1,3,8</t>
        </is>
      </c>
      <c r="G59" s="17" t="inlineStr">
        <is>
          <t>◻ —</t>
        </is>
      </c>
      <c r="H59" s="18" t="n"/>
      <c r="I59" s="13" t="n"/>
      <c r="J59" s="13" t="n"/>
      <c r="K59" s="14" t="n"/>
      <c r="L59" s="13" t="n"/>
      <c r="M59" s="17">
        <f>IF(H59="S","Existe",IF(H59="N","Não existe",IF(H59="?","PIOR CASO: tratar como sem proteção","Não preenchido")))</f>
        <v/>
      </c>
      <c r="N59" s="17">
        <f>IF(H59="?","VISTORIAR",IF(H59="","A PREENCHER",""))</f>
        <v/>
      </c>
      <c r="O59" s="17" t="n">
        <v>7</v>
      </c>
    </row>
    <row r="60">
      <c r="A60" s="17" t="inlineStr">
        <is>
          <t>B16</t>
        </is>
      </c>
      <c r="B60" s="17" t="inlineStr">
        <is>
          <t>B. Não potável / alternativas</t>
        </is>
      </c>
      <c r="C60" s="17" t="inlineStr">
        <is>
          <t>Poços de monitoramento e piezômetros</t>
        </is>
      </c>
      <c r="D60" s="17" t="inlineStr">
        <is>
          <t>Poços que medem o nível e a qualidade do lençol (obra, posto, tanque)</t>
        </is>
      </c>
      <c r="E60" s="17" t="inlineStr">
        <is>
          <t>Tampa solta vira via de contaminação do aquífero; confundido com poço de captação</t>
        </is>
      </c>
      <c r="F60" s="17" t="inlineStr">
        <is>
          <t>3</t>
        </is>
      </c>
      <c r="G60" s="17" t="inlineStr">
        <is>
          <t>✔ NBR 15495 (poços de monitoramento; ◻ edição)</t>
        </is>
      </c>
      <c r="H60" s="18" t="n"/>
      <c r="I60" s="13" t="n"/>
      <c r="J60" s="13" t="n"/>
      <c r="K60" s="14" t="n"/>
      <c r="L60" s="13" t="n"/>
      <c r="M60" s="17">
        <f>IF(H60="S","Existe",IF(H60="N","Não existe",IF(H60="?","PIOR CASO: tratar como sem proteção","Não preenchido")))</f>
        <v/>
      </c>
      <c r="N60" s="17">
        <f>IF(H60="?","VISTORIAR",IF(H60="","A PREENCHER",""))</f>
        <v/>
      </c>
      <c r="O60" s="17" t="n">
        <v>7</v>
      </c>
    </row>
    <row r="61">
      <c r="A61" s="17" t="inlineStr">
        <is>
          <t>C1</t>
        </is>
      </c>
      <c r="B61" s="17" t="inlineStr">
        <is>
          <t>C. Climatização e térmica</t>
        </is>
      </c>
      <c r="C61" s="17" t="inlineStr">
        <is>
          <t>Circuito de água gelada</t>
        </is>
      </c>
      <c r="D61" s="17" t="inlineStr">
        <is>
          <t>Anel fechado entre chiller, bombas e fancoils/VAV; com glicol e/ou inibidores</t>
        </is>
      </c>
      <c r="E61" s="17" t="inlineStr">
        <is>
          <t>Vazamento reabastece com potável; contrapressão empurra para a rede; glicol e inibidor contaminam; água rosa ou colorida pela marcação</t>
        </is>
      </c>
      <c r="F61" s="17" t="inlineStr">
        <is>
          <t>1,4,8</t>
        </is>
      </c>
      <c r="G61" s="17" t="inlineStr">
        <is>
          <t>✔ NBR 16401 (instalações de ar-condicionado; ◻ cláusulas de água)</t>
        </is>
      </c>
      <c r="H61" s="18" t="n"/>
      <c r="I61" s="13" t="n"/>
      <c r="J61" s="13" t="n"/>
      <c r="K61" s="14" t="n"/>
      <c r="L61" s="13" t="n"/>
      <c r="M61" s="17">
        <f>IF(H61="S","Existe",IF(H61="N","Não existe",IF(H61="?","PIOR CASO: tratar como sem proteção","Não preenchido")))</f>
        <v/>
      </c>
      <c r="N61" s="17">
        <f>IF(H61="?","VISTORIAR",IF(H61="","A PREENCHER",""))</f>
        <v/>
      </c>
      <c r="O61" s="17" t="n">
        <v>8</v>
      </c>
    </row>
    <row r="62">
      <c r="A62" s="17" t="inlineStr">
        <is>
          <t>C2</t>
        </is>
      </c>
      <c r="B62" s="17" t="inlineStr">
        <is>
          <t>C. Climatização e térmica</t>
        </is>
      </c>
      <c r="C62" s="17" t="inlineStr">
        <is>
          <t>Torre de resfriamento / condensação (circuito aberto)</t>
        </is>
      </c>
      <c r="D62" s="17" t="inlineStr">
        <is>
          <t>Bacia, enchimento, ventilador e distribuição na cobertura; tratamento químico, purga, biocida</t>
        </is>
      </c>
      <c r="E62" s="17" t="inlineStr">
        <is>
          <t>Legionella; aerossol; químico escapando; bacia cheia de sujeira; tratamento parado</t>
        </is>
      </c>
      <c r="F62" s="17" t="inlineStr">
        <is>
          <t>3,8</t>
        </is>
      </c>
      <c r="G62" s="17" t="inlineStr">
        <is>
          <t>✔ Portaria 3.523/1998 · ✔ Lei 13.589/2018 (PMOC) · ✔ ASHRAE 188 e Guideline 12 (gestão de Legionella; não são norma brasileira)</t>
        </is>
      </c>
      <c r="H62" s="18" t="n"/>
      <c r="I62" s="13" t="n"/>
      <c r="J62" s="13" t="n"/>
      <c r="K62" s="14" t="n"/>
      <c r="L62" s="13" t="n"/>
      <c r="M62" s="17">
        <f>IF(H62="S","Existe",IF(H62="N","Não existe",IF(H62="?","PIOR CASO: tratar como sem proteção","Não preenchido")))</f>
        <v/>
      </c>
      <c r="N62" s="17">
        <f>IF(H62="?","VISTORIAR",IF(H62="","A PREENCHER",""))</f>
        <v/>
      </c>
      <c r="O62" s="17" t="n">
        <v>9</v>
      </c>
    </row>
    <row r="63">
      <c r="A63" s="17" t="inlineStr">
        <is>
          <t>C3</t>
        </is>
      </c>
      <c r="B63" s="17" t="inlineStr">
        <is>
          <t>C. Climatização e térmica</t>
        </is>
      </c>
      <c r="C63" s="17" t="inlineStr">
        <is>
          <t>Reposição (make-up) dos circuitos (conjunto)</t>
        </is>
      </c>
      <c r="D63" s="17" t="inlineStr">
        <is>
          <t>Linha de água que repõe o chiller e a torre. Ponto mais crítico de interconexão com o potável. Detalhe em C14 a C20</t>
        </is>
      </c>
      <c r="E63" s="17" t="inlineStr">
        <is>
          <t>Ligação direta sem separação atmosférica; contrapressão e retrossifonagem; mangueira deixada conectada</t>
        </is>
      </c>
      <c r="F63" s="17" t="inlineStr">
        <is>
          <t>1,2,4</t>
        </is>
      </c>
      <c r="G63" s="17" t="inlineStr">
        <is>
          <t>✔ NBR 5626:2020 (proteção contra refluxo; cláusula a ler)</t>
        </is>
      </c>
      <c r="H63" s="18" t="n"/>
      <c r="I63" s="13" t="n"/>
      <c r="J63" s="13" t="n"/>
      <c r="K63" s="14" t="n"/>
      <c r="L63" s="13" t="n"/>
      <c r="M63" s="17">
        <f>IF(H63="S","Existe",IF(H63="N","Não existe",IF(H63="?","PIOR CASO: tratar como sem proteção","Não preenchido")))</f>
        <v/>
      </c>
      <c r="N63" s="17">
        <f>IF(H63="?","VISTORIAR",IF(H63="","A PREENCHER",""))</f>
        <v/>
      </c>
      <c r="O63" s="17" t="n">
        <v>6</v>
      </c>
    </row>
    <row r="64">
      <c r="A64" s="17" t="inlineStr">
        <is>
          <t>C4</t>
        </is>
      </c>
      <c r="B64" s="17" t="inlineStr">
        <is>
          <t>C. Climatização e térmica</t>
        </is>
      </c>
      <c r="C64" s="17" t="inlineStr">
        <is>
          <t>Tanque de expansão aberto / de reposição do circuito</t>
        </is>
      </c>
      <c r="D64" s="17" t="inlineStr">
        <is>
          <t>Tanque aberto que absorve variação de volume e repõe perdas</t>
        </is>
      </c>
      <c r="E64" s="17" t="inlineStr">
        <is>
          <t>Boia presa; ladrão submerso; extravasa para laje ou para a caixa d'água; reposição manual por mangueira</t>
        </is>
      </c>
      <c r="F64" s="17" t="inlineStr">
        <is>
          <t>1,4</t>
        </is>
      </c>
      <c r="G64" s="17" t="inlineStr">
        <is>
          <t>◻ —</t>
        </is>
      </c>
      <c r="H64" s="18" t="n"/>
      <c r="I64" s="13" t="n"/>
      <c r="J64" s="13" t="n"/>
      <c r="K64" s="14" t="n"/>
      <c r="L64" s="13" t="n"/>
      <c r="M64" s="17">
        <f>IF(H64="S","Existe",IF(H64="N","Não existe",IF(H64="?","PIOR CASO: tratar como sem proteção","Não preenchido")))</f>
        <v/>
      </c>
      <c r="N64" s="17">
        <f>IF(H64="?","VISTORIAR",IF(H64="","A PREENCHER",""))</f>
        <v/>
      </c>
      <c r="O64" s="17" t="n">
        <v>8</v>
      </c>
    </row>
    <row r="65">
      <c r="A65" s="17" t="inlineStr">
        <is>
          <t>C5</t>
        </is>
      </c>
      <c r="B65" s="17" t="inlineStr">
        <is>
          <t>C. Climatização e térmica</t>
        </is>
      </c>
      <c r="C65" s="17" t="inlineStr">
        <is>
          <t>Circuito de água quente de aquecimento</t>
        </is>
      </c>
      <c r="D65" s="17" t="inlineStr">
        <is>
          <t>Caldeira ou bomba de calor para reheat e aquecimento, com químicos</t>
        </is>
      </c>
      <c r="E65" s="17" t="inlineStr">
        <is>
          <t>Trocador de parede única; contrapressão; vazamento</t>
        </is>
      </c>
      <c r="F65" s="17" t="inlineStr">
        <is>
          <t>1,4,8</t>
        </is>
      </c>
      <c r="G65" s="17" t="inlineStr">
        <is>
          <t>✔ NR-13 (se caldeira ou vaso de pressão; ◻ enquadramento)</t>
        </is>
      </c>
      <c r="H65" s="18" t="n"/>
      <c r="I65" s="13" t="n"/>
      <c r="J65" s="13" t="n"/>
      <c r="K65" s="14" t="n"/>
      <c r="L65" s="13" t="n"/>
      <c r="M65" s="17">
        <f>IF(H65="S","Existe",IF(H65="N","Não existe",IF(H65="?","PIOR CASO: tratar como sem proteção","Não preenchido")))</f>
        <v/>
      </c>
      <c r="N65" s="17">
        <f>IF(H65="?","VISTORIAR",IF(H65="","A PREENCHER",""))</f>
        <v/>
      </c>
      <c r="O65" s="17" t="n">
        <v>8</v>
      </c>
    </row>
    <row r="66">
      <c r="A66" s="17" t="inlineStr">
        <is>
          <t>C6</t>
        </is>
      </c>
      <c r="B66" s="17" t="inlineStr">
        <is>
          <t>C. Climatização e térmica</t>
        </is>
      </c>
      <c r="C66" s="17" t="inlineStr">
        <is>
          <t>Fancoils, VAV, serpentinas, drenos de condensado</t>
        </is>
      </c>
      <c r="D66" s="17" t="inlineStr">
        <is>
          <t>Equipamentos de ar nos andares; bandejas e drenos</t>
        </is>
      </c>
      <c r="E66" s="17" t="inlineStr">
        <is>
          <t>Dreno entupido vaza no forro; bandeja com biofilme; serpentina furada vaza água química; dreno ligado direto à coluna de esgoto (gás entra pela bandeja)</t>
        </is>
      </c>
      <c r="F66" s="17" t="inlineStr">
        <is>
          <t>4,7</t>
        </is>
      </c>
      <c r="G66" s="17" t="inlineStr">
        <is>
          <t>✔ Lei 13.589/2018 (PMOC) · ✔ NBR 17037:2023 (qualidade do ar interior em ambientes climatizados; fonte secundária)</t>
        </is>
      </c>
      <c r="H66" s="18" t="n"/>
      <c r="I66" s="13" t="n"/>
      <c r="J66" s="13" t="n"/>
      <c r="K66" s="14" t="n"/>
      <c r="L66" s="13" t="n"/>
      <c r="M66" s="17">
        <f>IF(H66="S","Existe",IF(H66="N","Não existe",IF(H66="?","PIOR CASO: tratar como sem proteção","Não preenchido")))</f>
        <v/>
      </c>
      <c r="N66" s="17">
        <f>IF(H66="?","VISTORIAR",IF(H66="","A PREENCHER",""))</f>
        <v/>
      </c>
      <c r="O66" s="17" t="n">
        <v>8</v>
      </c>
    </row>
    <row r="67">
      <c r="A67" s="17" t="inlineStr">
        <is>
          <t>C7</t>
        </is>
      </c>
      <c r="B67" s="17" t="inlineStr">
        <is>
          <t>C. Climatização e térmica</t>
        </is>
      </c>
      <c r="C67" s="17" t="inlineStr">
        <is>
          <t>Umidificação</t>
        </is>
      </c>
      <c r="D67" s="17" t="inlineStr">
        <is>
          <t>Umidificadores adiabáticos e de vapor em salas técnicas e data centers</t>
        </is>
      </c>
      <c r="E67" s="17" t="inlineStr">
        <is>
          <t>Reservatório estagnado; aerossol; dosagem de químico</t>
        </is>
      </c>
      <c r="F67" s="17" t="inlineStr">
        <is>
          <t>3,8</t>
        </is>
      </c>
      <c r="G67" s="17" t="inlineStr">
        <is>
          <t>✔ ASHRAE Guideline 12 (aerossol; ◻ aplicabilidade)</t>
        </is>
      </c>
      <c r="H67" s="18" t="n"/>
      <c r="I67" s="13" t="n"/>
      <c r="J67" s="13" t="n"/>
      <c r="K67" s="14" t="n"/>
      <c r="L67" s="13" t="n"/>
      <c r="M67" s="17">
        <f>IF(H67="S","Existe",IF(H67="N","Não existe",IF(H67="?","PIOR CASO: tratar como sem proteção","Não preenchido")))</f>
        <v/>
      </c>
      <c r="N67" s="17">
        <f>IF(H67="?","VISTORIAR",IF(H67="","A PREENCHER",""))</f>
        <v/>
      </c>
      <c r="O67" s="17" t="n">
        <v>8</v>
      </c>
    </row>
    <row r="68">
      <c r="A68" s="17" t="inlineStr">
        <is>
          <t>C8</t>
        </is>
      </c>
      <c r="B68" s="17" t="inlineStr">
        <is>
          <t>C. Climatização e térmica</t>
        </is>
      </c>
      <c r="C68" s="17" t="inlineStr">
        <is>
          <t>Sistema de dosagem química</t>
        </is>
      </c>
      <c r="D68" s="17" t="inlineStr">
        <is>
          <t>Bombas dosadoras e linhas de dosagem (inibidor, biocida, dispersante)</t>
        </is>
      </c>
      <c r="E68" s="17" t="inlineStr">
        <is>
          <t>Dosagem errada; bomba parada; linha dosadora ligada a água de diluição da rede sem folga; produto cristaliza e trava a retenção</t>
        </is>
      </c>
      <c r="F68" s="17" t="inlineStr">
        <is>
          <t>1,8</t>
        </is>
      </c>
      <c r="G68" s="17" t="inlineStr">
        <is>
          <t>◻ —</t>
        </is>
      </c>
      <c r="H68" s="18" t="n"/>
      <c r="I68" s="13" t="n"/>
      <c r="J68" s="13" t="n"/>
      <c r="K68" s="14" t="n"/>
      <c r="L68" s="13" t="n"/>
      <c r="M68" s="17">
        <f>IF(H68="S","Existe",IF(H68="N","Não existe",IF(H68="?","PIOR CASO: tratar como sem proteção","Não preenchido")))</f>
        <v/>
      </c>
      <c r="N68" s="17">
        <f>IF(H68="?","VISTORIAR",IF(H68="","A PREENCHER",""))</f>
        <v/>
      </c>
      <c r="O68" s="17" t="n">
        <v>9</v>
      </c>
    </row>
    <row r="69">
      <c r="A69" s="17" t="inlineStr">
        <is>
          <t>C9</t>
        </is>
      </c>
      <c r="B69" s="17" t="inlineStr">
        <is>
          <t>C. Climatização e térmica</t>
        </is>
      </c>
      <c r="C69" s="17" t="inlineStr">
        <is>
          <t>Caldeiras e vapor</t>
        </is>
      </c>
      <c r="D69" s="17" t="inlineStr">
        <is>
          <t>Gerador de vapor, rede de vapor, retorno de condensado</t>
        </is>
      </c>
      <c r="E69" s="17" t="inlineStr">
        <is>
          <t>Contaminação química do retorno; vaso de pressão (risco de explosão); purga quente ao esgoto (ver E22)</t>
        </is>
      </c>
      <c r="F69" s="17" t="inlineStr">
        <is>
          <t>1,4,5</t>
        </is>
      </c>
      <c r="G69" s="17" t="inlineStr">
        <is>
          <t>✔ NR-13</t>
        </is>
      </c>
      <c r="H69" s="18" t="n"/>
      <c r="I69" s="13" t="n"/>
      <c r="J69" s="13" t="n"/>
      <c r="K69" s="14" t="n"/>
      <c r="L69" s="13" t="n"/>
      <c r="M69" s="17">
        <f>IF(H69="S","Existe",IF(H69="N","Não existe",IF(H69="?","PIOR CASO: tratar como sem proteção","Não preenchido")))</f>
        <v/>
      </c>
      <c r="N69" s="17">
        <f>IF(H69="?","VISTORIAR",IF(H69="","A PREENCHER",""))</f>
        <v/>
      </c>
      <c r="O69" s="17" t="n">
        <v>8</v>
      </c>
    </row>
    <row r="70">
      <c r="A70" s="17" t="inlineStr">
        <is>
          <t>C10</t>
        </is>
      </c>
      <c r="B70" s="17" t="inlineStr">
        <is>
          <t>C. Climatização e térmica</t>
        </is>
      </c>
      <c r="C70" s="17" t="inlineStr">
        <is>
          <t>Chillers resfriados a água</t>
        </is>
      </c>
      <c r="D70" s="17" t="inlineStr">
        <is>
          <t>Chiller cujo condensador rejeita calor pela água da torre (C2)</t>
        </is>
      </c>
      <c r="E70" s="17" t="inlineStr">
        <is>
          <t>Vazamento no condensador mistura gás refrigerante ou óleo com a água da torre; contaminação entre circuitos; incrustação</t>
        </is>
      </c>
      <c r="F70" s="17" t="inlineStr">
        <is>
          <t>1,8</t>
        </is>
      </c>
      <c r="G70" s="17" t="inlineStr">
        <is>
          <t>◻ NBR 16401 (conferir)</t>
        </is>
      </c>
      <c r="H70" s="18" t="n"/>
      <c r="I70" s="13" t="n"/>
      <c r="J70" s="13" t="n"/>
      <c r="K70" s="14" t="n"/>
      <c r="L70" s="13" t="n"/>
      <c r="M70" s="17">
        <f>IF(H70="S","Existe",IF(H70="N","Não existe",IF(H70="?","PIOR CASO: tratar como sem proteção","Não preenchido")))</f>
        <v/>
      </c>
      <c r="N70" s="17">
        <f>IF(H70="?","VISTORIAR",IF(H70="","A PREENCHER",""))</f>
        <v/>
      </c>
      <c r="O70" s="17" t="n">
        <v>9</v>
      </c>
    </row>
    <row r="71">
      <c r="A71" s="17" t="inlineStr">
        <is>
          <t>C11</t>
        </is>
      </c>
      <c r="B71" s="17" t="inlineStr">
        <is>
          <t>C. Climatização e térmica</t>
        </is>
      </c>
      <c r="C71" s="17" t="inlineStr">
        <is>
          <t>Termoacumulação</t>
        </is>
      </c>
      <c r="D71" s="17" t="inlineStr">
        <is>
          <t>Tanque de água gelada ou de gelo para deslocar demanda</t>
        </is>
      </c>
      <c r="E71" s="17" t="inlineStr">
        <is>
          <t>Perda de água; estagnação; entrada de ar; tanque aberto com reposição manual</t>
        </is>
      </c>
      <c r="F71" s="17" t="inlineStr">
        <is>
          <t>2,4,8</t>
        </is>
      </c>
      <c r="G71" s="17" t="inlineStr">
        <is>
          <t>◻ —</t>
        </is>
      </c>
      <c r="H71" s="18" t="n"/>
      <c r="I71" s="13" t="n"/>
      <c r="J71" s="13" t="n"/>
      <c r="K71" s="14" t="n"/>
      <c r="L71" s="13" t="n"/>
      <c r="M71" s="17">
        <f>IF(H71="S","Existe",IF(H71="N","Não existe",IF(H71="?","PIOR CASO: tratar como sem proteção","Não preenchido")))</f>
        <v/>
      </c>
      <c r="N71" s="17">
        <f>IF(H71="?","VISTORIAR",IF(H71="","A PREENCHER",""))</f>
        <v/>
      </c>
      <c r="O71" s="17" t="n">
        <v>8</v>
      </c>
    </row>
    <row r="72">
      <c r="A72" s="17" t="inlineStr">
        <is>
          <t>C12</t>
        </is>
      </c>
      <c r="B72" s="17" t="inlineStr">
        <is>
          <t>C. Climatização e térmica</t>
        </is>
      </c>
      <c r="C72" s="17" t="inlineStr">
        <is>
          <t>Resfriamento líquido de data center</t>
        </is>
      </c>
      <c r="D72" s="17" t="inlineStr">
        <is>
          <t>CRAH, rear door, circuito a líquido e trocadores</t>
        </is>
      </c>
      <c r="E72" s="17" t="inlineStr">
        <is>
          <t>Vazamento sobre equipamento; glicol; reposição com mangueira</t>
        </is>
      </c>
      <c r="F72" s="17" t="inlineStr">
        <is>
          <t>1,4</t>
        </is>
      </c>
      <c r="G72" s="17" t="inlineStr">
        <is>
          <t>◻ —</t>
        </is>
      </c>
      <c r="H72" s="18" t="n"/>
      <c r="I72" s="13" t="n"/>
      <c r="J72" s="13" t="n"/>
      <c r="K72" s="14" t="n"/>
      <c r="L72" s="13" t="n"/>
      <c r="M72" s="17">
        <f>IF(H72="S","Existe",IF(H72="N","Não existe",IF(H72="?","PIOR CASO: tratar como sem proteção","Não preenchido")))</f>
        <v/>
      </c>
      <c r="N72" s="17">
        <f>IF(H72="?","VISTORIAR",IF(H72="","A PREENCHER",""))</f>
        <v/>
      </c>
      <c r="O72" s="17" t="n">
        <v>8</v>
      </c>
    </row>
    <row r="73">
      <c r="A73" s="17" t="inlineStr">
        <is>
          <t>C13</t>
        </is>
      </c>
      <c r="B73" s="17" t="inlineStr">
        <is>
          <t>C. Climatização e térmica</t>
        </is>
      </c>
      <c r="C73" s="17" t="inlineStr">
        <is>
          <t>Gerador arrefecido a água</t>
        </is>
      </c>
      <c r="D73" s="17" t="inlineStr">
        <is>
          <t>Radiador e circuito de arrefecimento do gerador diesel</t>
        </is>
      </c>
      <c r="E73" s="17" t="inlineStr">
        <is>
          <t>Vazamento; reposição manual com água potável por mangueira, sem proteção</t>
        </is>
      </c>
      <c r="F73" s="17" t="inlineStr">
        <is>
          <t>1,5</t>
        </is>
      </c>
      <c r="G73" s="17" t="inlineStr">
        <is>
          <t>◻ —</t>
        </is>
      </c>
      <c r="H73" s="18" t="n"/>
      <c r="I73" s="13" t="n"/>
      <c r="J73" s="13" t="n"/>
      <c r="K73" s="14" t="n"/>
      <c r="L73" s="13" t="n"/>
      <c r="M73" s="17">
        <f>IF(H73="S","Existe",IF(H73="N","Não existe",IF(H73="?","PIOR CASO: tratar como sem proteção","Não preenchido")))</f>
        <v/>
      </c>
      <c r="N73" s="17">
        <f>IF(H73="?","VISTORIAR",IF(H73="","A PREENCHER",""))</f>
        <v/>
      </c>
      <c r="O73" s="17" t="n">
        <v>8</v>
      </c>
    </row>
    <row r="74">
      <c r="A74" s="17" t="inlineStr">
        <is>
          <t>C14</t>
        </is>
      </c>
      <c r="B74" s="17" t="inlineStr">
        <is>
          <t>C. Climatização e térmica</t>
        </is>
      </c>
      <c r="C74" s="17" t="inlineStr">
        <is>
          <t>Ponto de água potável na casa de máquinas, sala do chiller ou cobertura</t>
        </is>
      </c>
      <c r="D74" s="17" t="inlineStr">
        <is>
          <t>Torneira, registro ou ponto de mangueira perto do circuito ou da torre, usado para repor</t>
        </is>
      </c>
      <c r="E74" s="17" t="inlineStr">
        <is>
          <t>É o ponto do episódio 2: o ponto de potável perto do circuito vira a fonte da mangueira. Ver A35 e H13</t>
        </is>
      </c>
      <c r="F74" s="17" t="inlineStr">
        <is>
          <t>1</t>
        </is>
      </c>
      <c r="G74" s="17" t="inlineStr">
        <is>
          <t>✔ NBR 5626:2020 (proteção contra refluxo; cláusula a ler)</t>
        </is>
      </c>
      <c r="H74" s="18" t="n"/>
      <c r="I74" s="13" t="n"/>
      <c r="J74" s="13" t="n"/>
      <c r="K74" s="14" t="n"/>
      <c r="L74" s="13" t="n"/>
      <c r="M74" s="17">
        <f>IF(H74="S","Existe",IF(H74="N","Não existe",IF(H74="?","PIOR CASO: tratar como sem proteção","Não preenchido")))</f>
        <v/>
      </c>
      <c r="N74" s="17">
        <f>IF(H74="?","VISTORIAR",IF(H74="","A PREENCHER",""))</f>
        <v/>
      </c>
      <c r="O74" s="17" t="n">
        <v>6</v>
      </c>
    </row>
    <row r="75">
      <c r="A75" s="17" t="inlineStr">
        <is>
          <t>C15</t>
        </is>
      </c>
      <c r="B75" s="17" t="inlineStr">
        <is>
          <t>C. Climatização e térmica</t>
        </is>
      </c>
      <c r="C75" s="17" t="inlineStr">
        <is>
          <t>Reposição automática da torre (boia na bacia)</t>
        </is>
      </c>
      <c r="D75" s="17" t="inlineStr">
        <is>
          <t>Válvula de boia na bacia da torre ou em tanque de nível</t>
        </is>
      </c>
      <c r="E75" s="17" t="inlineStr">
        <is>
          <t>Boia submersa, tubo mergulhado (perde a folga de ar); bacia transborda; boia presa deixa a torre secar</t>
        </is>
      </c>
      <c r="F75" s="17" t="inlineStr">
        <is>
          <t>2,4,8</t>
        </is>
      </c>
      <c r="G75" s="17" t="inlineStr">
        <is>
          <t>◻ —</t>
        </is>
      </c>
      <c r="H75" s="18" t="n"/>
      <c r="I75" s="13" t="n"/>
      <c r="J75" s="13" t="n"/>
      <c r="K75" s="14" t="n"/>
      <c r="L75" s="13" t="n"/>
      <c r="M75" s="17">
        <f>IF(H75="S","Existe",IF(H75="N","Não existe",IF(H75="?","PIOR CASO: tratar como sem proteção","Não preenchido")))</f>
        <v/>
      </c>
      <c r="N75" s="17">
        <f>IF(H75="?","VISTORIAR",IF(H75="","A PREENCHER",""))</f>
        <v/>
      </c>
      <c r="O75" s="17" t="n">
        <v>6</v>
      </c>
    </row>
    <row r="76">
      <c r="A76" s="17" t="inlineStr">
        <is>
          <t>C16</t>
        </is>
      </c>
      <c r="B76" s="17" t="inlineStr">
        <is>
          <t>C. Climatização e térmica</t>
        </is>
      </c>
      <c r="C76" s="17" t="inlineStr">
        <is>
          <t>Reposição automática do circuito fechado</t>
        </is>
      </c>
      <c r="D76" s="17" t="inlineStr">
        <is>
          <t>Válvula de enchimento automático, solenoide ou regulador de pressão ligado ao potável</t>
        </is>
      </c>
      <c r="E76" s="17" t="inlineStr">
        <is>
          <t>Válvula travada aberta: reabastece sem parar e esconde vazamento; travada fechada: a reposição falha (episódio 2); retenção única na entrada; sem hidrômetro</t>
        </is>
      </c>
      <c r="F76" s="17" t="inlineStr">
        <is>
          <t>1,2,4</t>
        </is>
      </c>
      <c r="G76" s="17" t="inlineStr">
        <is>
          <t>✔ NBR 5626:2020 (proteção contra refluxo; cláusula a ler)</t>
        </is>
      </c>
      <c r="H76" s="18" t="n"/>
      <c r="I76" s="13" t="n"/>
      <c r="J76" s="13" t="n"/>
      <c r="K76" s="14" t="n"/>
      <c r="L76" s="13" t="n"/>
      <c r="M76" s="17">
        <f>IF(H76="S","Existe",IF(H76="N","Não existe",IF(H76="?","PIOR CASO: tratar como sem proteção","Não preenchido")))</f>
        <v/>
      </c>
      <c r="N76" s="17">
        <f>IF(H76="?","VISTORIAR",IF(H76="","A PREENCHER",""))</f>
        <v/>
      </c>
      <c r="O76" s="17" t="n">
        <v>6</v>
      </c>
    </row>
    <row r="77">
      <c r="A77" s="17" t="inlineStr">
        <is>
          <t>C17</t>
        </is>
      </c>
      <c r="B77" s="17" t="inlineStr">
        <is>
          <t>C. Climatização e térmica</t>
        </is>
      </c>
      <c r="C77" s="17" t="inlineStr">
        <is>
          <t>By-pass e reposição manual (registro, mangueira, engate)</t>
        </is>
      </c>
      <c r="D77" s="17" t="inlineStr">
        <is>
          <t>Registro de by-pass da reposição automática; engate para mangueira ao lado do circuito</t>
        </is>
      </c>
      <c r="E77" s="17" t="inlineStr">
        <is>
          <t>A mangueira ligada direto na entrada do circuito, mantida conectada, com pressão do circuito maior que a da rede: empurra água para a prumada</t>
        </is>
      </c>
      <c r="F77" s="17" t="inlineStr">
        <is>
          <t>1</t>
        </is>
      </c>
      <c r="G77" s="17" t="inlineStr">
        <is>
          <t>✔ NBR 5626:2020 (proteção contra refluxo; cláusula a ler)</t>
        </is>
      </c>
      <c r="H77" s="18" t="n"/>
      <c r="I77" s="13" t="n"/>
      <c r="J77" s="13" t="n"/>
      <c r="K77" s="14" t="n"/>
      <c r="L77" s="13" t="n"/>
      <c r="M77" s="17">
        <f>IF(H77="S","Existe",IF(H77="N","Não existe",IF(H77="?","PIOR CASO: tratar como sem proteção","Não preenchido")))</f>
        <v/>
      </c>
      <c r="N77" s="17">
        <f>IF(H77="?","VISTORIAR",IF(H77="","A PREENCHER",""))</f>
        <v/>
      </c>
      <c r="O77" s="17" t="n">
        <v>6</v>
      </c>
    </row>
    <row r="78">
      <c r="A78" s="17" t="inlineStr">
        <is>
          <t>C18</t>
        </is>
      </c>
      <c r="B78" s="17" t="inlineStr">
        <is>
          <t>C. Climatização e térmica</t>
        </is>
      </c>
      <c r="C78" s="17" t="inlineStr">
        <is>
          <t>Tanque de ruptura / funil de reposição (separação atmosférica)</t>
        </is>
      </c>
      <c r="D78" s="17" t="inlineStr">
        <is>
          <t>Tanque ou funil que recebe a água do potável por cima, com folga de ar, e repõe o circuito por bomba ou gravidade</t>
        </is>
      </c>
      <c r="E78" s="17" t="inlineStr">
        <is>
          <t>É a solução segura, mas: a folga some se o tubo for mergulhado; o tanque estagna; boia presa; ladrão ligado ao esgoto; vira ponto de contaminação</t>
        </is>
      </c>
      <c r="F78" s="17" t="inlineStr">
        <is>
          <t>1,2</t>
        </is>
      </c>
      <c r="G78" s="17" t="inlineStr">
        <is>
          <t>✔ NBR 5626:2020 (separação atmosférica; ◻ dimensionamento da folga)</t>
        </is>
      </c>
      <c r="H78" s="18" t="n"/>
      <c r="I78" s="13" t="n"/>
      <c r="J78" s="13" t="n"/>
      <c r="K78" s="14" t="n"/>
      <c r="L78" s="13" t="n"/>
      <c r="M78" s="17">
        <f>IF(H78="S","Existe",IF(H78="N","Não existe",IF(H78="?","PIOR CASO: tratar como sem proteção","Não preenchido")))</f>
        <v/>
      </c>
      <c r="N78" s="17">
        <f>IF(H78="?","VISTORIAR",IF(H78="","A PREENCHER",""))</f>
        <v/>
      </c>
      <c r="O78" s="17" t="n">
        <v>6</v>
      </c>
    </row>
    <row r="79">
      <c r="A79" s="17" t="inlineStr">
        <is>
          <t>C19</t>
        </is>
      </c>
      <c r="B79" s="17" t="inlineStr">
        <is>
          <t>C. Climatização e térmica</t>
        </is>
      </c>
      <c r="C79" s="17" t="inlineStr">
        <is>
          <t>Disconector (BPV), retenção dupla ou outro dispositivo na reposição</t>
        </is>
      </c>
      <c r="D79" s="17" t="inlineStr">
        <is>
          <t>Dispositivo de proteção entre o potável e o circuito</t>
        </is>
      </c>
      <c r="E79" s="17" t="inlineStr">
        <is>
          <t>Sem teste periódico; dreno do BPV entupido ou ligado ao esgoto sem folga; instalado ao contrário; removido ou "curto-circuitado" por by-pass</t>
        </is>
      </c>
      <c r="F79" s="17" t="inlineStr">
        <is>
          <t>1,7</t>
        </is>
      </c>
      <c r="G79" s="17" t="inlineStr">
        <is>
          <t>✔ NBR 5626:2020 · ✔ EN 1717 (referência internacional)</t>
        </is>
      </c>
      <c r="H79" s="18" t="n"/>
      <c r="I79" s="13" t="n"/>
      <c r="J79" s="13" t="n"/>
      <c r="K79" s="14" t="n"/>
      <c r="L79" s="13" t="n"/>
      <c r="M79" s="17">
        <f>IF(H79="S","Existe",IF(H79="N","Não existe",IF(H79="?","PIOR CASO: tratar como sem proteção","Não preenchido")))</f>
        <v/>
      </c>
      <c r="N79" s="17">
        <f>IF(H79="?","VISTORIAR",IF(H79="","A PREENCHER",""))</f>
        <v/>
      </c>
      <c r="O79" s="17" t="n">
        <v>6</v>
      </c>
    </row>
    <row r="80">
      <c r="A80" s="17" t="inlineStr">
        <is>
          <t>C20</t>
        </is>
      </c>
      <c r="B80" s="17" t="inlineStr">
        <is>
          <t>C. Climatização e térmica</t>
        </is>
      </c>
      <c r="C80" s="17" t="inlineStr">
        <is>
          <t>Medição da reposição (hidrômetro, contador, nível) nos circuitos</t>
        </is>
      </c>
      <c r="D80" s="17" t="inlineStr">
        <is>
          <t>Hidrômetro dedicado, sensor de nível no tanque, contador de pulsos</t>
        </is>
      </c>
      <c r="E80" s="17" t="inlineStr">
        <is>
          <t>Não existe: um vazamento só aparece como litros por dia na conta de água. Indicador para pegar o problema antes da improvisação</t>
        </is>
      </c>
      <c r="F80" s="17" t="inlineStr">
        <is>
          <t>1,4,T</t>
        </is>
      </c>
      <c r="G80" s="17" t="inlineStr">
        <is>
          <t>◻ —</t>
        </is>
      </c>
      <c r="H80" s="18" t="n"/>
      <c r="I80" s="13" t="n"/>
      <c r="J80" s="13" t="n"/>
      <c r="K80" s="14" t="n"/>
      <c r="L80" s="13" t="n"/>
      <c r="M80" s="17">
        <f>IF(H80="S","Existe",IF(H80="N","Não existe",IF(H80="?","PIOR CASO: tratar como sem proteção","Não preenchido")))</f>
        <v/>
      </c>
      <c r="N80" s="17">
        <f>IF(H80="?","VISTORIAR",IF(H80="","A PREENCHER",""))</f>
        <v/>
      </c>
      <c r="O80" s="17" t="n">
        <v>6</v>
      </c>
    </row>
    <row r="81">
      <c r="A81" s="17" t="inlineStr">
        <is>
          <t>C21</t>
        </is>
      </c>
      <c r="B81" s="17" t="inlineStr">
        <is>
          <t>C. Climatização e térmica</t>
        </is>
      </c>
      <c r="C81" s="17" t="inlineStr">
        <is>
          <t>Bombas de circulação e vasos desacopladores</t>
        </is>
      </c>
      <c r="D81" s="17" t="inlineStr">
        <is>
          <t>Bombas primárias, secundárias e terciárias; pressão do circuito</t>
        </is>
      </c>
      <c r="E81" s="17" t="inlineStr">
        <is>
          <t>Pressão de recalque maior que a do potável: é a causa física da contrapressão. Selo da bomba vaza</t>
        </is>
      </c>
      <c r="F81" s="17" t="inlineStr">
        <is>
          <t>1,4,5</t>
        </is>
      </c>
      <c r="G81" s="17" t="inlineStr">
        <is>
          <t>◻ NBR 16401 (conferir)</t>
        </is>
      </c>
      <c r="H81" s="18" t="n"/>
      <c r="I81" s="13" t="n"/>
      <c r="J81" s="13" t="n"/>
      <c r="K81" s="14" t="n"/>
      <c r="L81" s="13" t="n"/>
      <c r="M81" s="17">
        <f>IF(H81="S","Existe",IF(H81="N","Não existe",IF(H81="?","PIOR CASO: tratar como sem proteção","Não preenchido")))</f>
        <v/>
      </c>
      <c r="N81" s="17">
        <f>IF(H81="?","VISTORIAR",IF(H81="","A PREENCHER",""))</f>
        <v/>
      </c>
      <c r="O81" s="17" t="n">
        <v>8</v>
      </c>
    </row>
    <row r="82">
      <c r="A82" s="17" t="inlineStr">
        <is>
          <t>C22</t>
        </is>
      </c>
      <c r="B82" s="17" t="inlineStr">
        <is>
          <t>C. Climatização e térmica</t>
        </is>
      </c>
      <c r="C82" s="17" t="inlineStr">
        <is>
          <t>Trocador de placas entre circuitos de climatização</t>
        </is>
      </c>
      <c r="D82" s="17" t="inlineStr">
        <is>
          <t>Trocador que separa a pressão de um prédio alto ou faz free cooling entre torre e circuito fechado</t>
        </is>
      </c>
      <c r="E82" s="17" t="inlineStr">
        <is>
          <t>Parede única; gaxeta ou solda trinca e mistura os circuitos (um aberto, outro com químicos); sem alarme de pressão ou condutividade</t>
        </is>
      </c>
      <c r="F82" s="17" t="inlineStr">
        <is>
          <t>1,8</t>
        </is>
      </c>
      <c r="G82" s="17" t="inlineStr">
        <is>
          <t>◻ NBR 16401 (conferir)</t>
        </is>
      </c>
      <c r="H82" s="18" t="n"/>
      <c r="I82" s="13" t="n"/>
      <c r="J82" s="13" t="n"/>
      <c r="K82" s="14" t="n"/>
      <c r="L82" s="13" t="n"/>
      <c r="M82" s="17">
        <f>IF(H82="S","Existe",IF(H82="N","Não existe",IF(H82="?","PIOR CASO: tratar como sem proteção","Não preenchido")))</f>
        <v/>
      </c>
      <c r="N82" s="17">
        <f>IF(H82="?","VISTORIAR",IF(H82="","A PREENCHER",""))</f>
        <v/>
      </c>
      <c r="O82" s="17" t="n">
        <v>8</v>
      </c>
    </row>
    <row r="83">
      <c r="A83" s="17" t="inlineStr">
        <is>
          <t>C23</t>
        </is>
      </c>
      <c r="B83" s="17" t="inlineStr">
        <is>
          <t>C. Climatização e térmica</t>
        </is>
      </c>
      <c r="C83" s="17" t="inlineStr">
        <is>
          <t>Chiller com recuperação de calor</t>
        </is>
      </c>
      <c r="D83" s="17" t="inlineStr">
        <is>
          <t>Condensador de recuperação que aquece água sanitária, reheat ou piscina</t>
        </is>
      </c>
      <c r="E83" s="17" t="inlineStr">
        <is>
          <t>Recuperação ligada a A28 ou a piscina: parede única; refrigerante/óleo/aditivo vai para água sanitária</t>
        </is>
      </c>
      <c r="F83" s="17" t="inlineStr">
        <is>
          <t>1,3</t>
        </is>
      </c>
      <c r="G83" s="17" t="inlineStr">
        <is>
          <t>◻ —</t>
        </is>
      </c>
      <c r="H83" s="18" t="n"/>
      <c r="I83" s="13" t="n"/>
      <c r="J83" s="13" t="n"/>
      <c r="K83" s="14" t="n"/>
      <c r="L83" s="13" t="n"/>
      <c r="M83" s="17">
        <f>IF(H83="S","Existe",IF(H83="N","Não existe",IF(H83="?","PIOR CASO: tratar como sem proteção","Não preenchido")))</f>
        <v/>
      </c>
      <c r="N83" s="17">
        <f>IF(H83="?","VISTORIAR",IF(H83="","A PREENCHER",""))</f>
        <v/>
      </c>
      <c r="O83" s="17" t="n">
        <v>8</v>
      </c>
    </row>
    <row r="84">
      <c r="A84" s="17" t="inlineStr">
        <is>
          <t>C24</t>
        </is>
      </c>
      <c r="B84" s="17" t="inlineStr">
        <is>
          <t>C. Climatização e térmica</t>
        </is>
      </c>
      <c r="C84" s="17" t="inlineStr">
        <is>
          <t>Bomba de calor água-água e VRF com condensação a água</t>
        </is>
      </c>
      <c r="D84" s="17" t="inlineStr">
        <is>
          <t>Trocadores ligados à torre ou a anel de condensação</t>
        </is>
      </c>
      <c r="E84" s="17" t="inlineStr">
        <is>
          <t>Vazamento mistura circuito de refrigerante com água; condensação com tratamento fraco</t>
        </is>
      </c>
      <c r="F84" s="17" t="inlineStr">
        <is>
          <t>1,8</t>
        </is>
      </c>
      <c r="G84" s="17" t="inlineStr">
        <is>
          <t>◻ —</t>
        </is>
      </c>
      <c r="H84" s="18" t="n"/>
      <c r="I84" s="13" t="n"/>
      <c r="J84" s="13" t="n"/>
      <c r="K84" s="14" t="n"/>
      <c r="L84" s="13" t="n"/>
      <c r="M84" s="17">
        <f>IF(H84="S","Existe",IF(H84="N","Não existe",IF(H84="?","PIOR CASO: tratar como sem proteção","Não preenchido")))</f>
        <v/>
      </c>
      <c r="N84" s="17">
        <f>IF(H84="?","VISTORIAR",IF(H84="","A PREENCHER",""))</f>
        <v/>
      </c>
      <c r="O84" s="17" t="n">
        <v>8</v>
      </c>
    </row>
    <row r="85">
      <c r="A85" s="17" t="inlineStr">
        <is>
          <t>C25</t>
        </is>
      </c>
      <c r="B85" s="17" t="inlineStr">
        <is>
          <t>C. Climatização e térmica</t>
        </is>
      </c>
      <c r="C85" s="17" t="inlineStr">
        <is>
          <t>Chiller de absorção</t>
        </is>
      </c>
      <c r="D85" s="17" t="inlineStr">
        <is>
          <t>Chiller a vapor ou queima direta, com torre</t>
        </is>
      </c>
      <c r="E85" s="17" t="inlineStr">
        <is>
          <t>Água com aditivos de brometo ou lítio (ver FISPQ); torre grande, mais Legionella; vaso de pressão</t>
        </is>
      </c>
      <c r="F85" s="17" t="inlineStr">
        <is>
          <t>1,3,8</t>
        </is>
      </c>
      <c r="G85" s="17" t="inlineStr">
        <is>
          <t>◻ NR-13 (conferir)</t>
        </is>
      </c>
      <c r="H85" s="18" t="n"/>
      <c r="I85" s="13" t="n"/>
      <c r="J85" s="13" t="n"/>
      <c r="K85" s="14" t="n"/>
      <c r="L85" s="13" t="n"/>
      <c r="M85" s="17">
        <f>IF(H85="S","Existe",IF(H85="N","Não existe",IF(H85="?","PIOR CASO: tratar como sem proteção","Não preenchido")))</f>
        <v/>
      </c>
      <c r="N85" s="17">
        <f>IF(H85="?","VISTORIAR",IF(H85="","A PREENCHER",""))</f>
        <v/>
      </c>
      <c r="O85" s="17" t="n">
        <v>8</v>
      </c>
    </row>
    <row r="86">
      <c r="A86" s="17" t="inlineStr">
        <is>
          <t>C26</t>
        </is>
      </c>
      <c r="B86" s="17" t="inlineStr">
        <is>
          <t>C. Climatização e térmica</t>
        </is>
      </c>
      <c r="C86" s="17" t="inlineStr">
        <is>
          <t>Resfriador seco com spray adiabático (dry cooler)</t>
        </is>
      </c>
      <c r="D86" s="17" t="inlineStr">
        <is>
          <t>Resfriador com aspersão de água para pré-resfriar o ar</t>
        </is>
      </c>
      <c r="E86" s="17" t="inlineStr">
        <is>
          <t>Água nebulizada com aerossol; reposição ligada ao potável; Legionella</t>
        </is>
      </c>
      <c r="F86" s="17" t="inlineStr">
        <is>
          <t>3</t>
        </is>
      </c>
      <c r="G86" s="17" t="inlineStr">
        <is>
          <t>✔ ASHRAE Guideline 12 (aerossol; ◻ aplicabilidade)</t>
        </is>
      </c>
      <c r="H86" s="18" t="n"/>
      <c r="I86" s="13" t="n"/>
      <c r="J86" s="13" t="n"/>
      <c r="K86" s="14" t="n"/>
      <c r="L86" s="13" t="n"/>
      <c r="M86" s="17">
        <f>IF(H86="S","Existe",IF(H86="N","Não existe",IF(H86="?","PIOR CASO: tratar como sem proteção","Não preenchido")))</f>
        <v/>
      </c>
      <c r="N86" s="17">
        <f>IF(H86="?","VISTORIAR",IF(H86="","A PREENCHER",""))</f>
        <v/>
      </c>
      <c r="O86" s="17" t="n">
        <v>9</v>
      </c>
    </row>
    <row r="87">
      <c r="A87" s="17" t="inlineStr">
        <is>
          <t>C27</t>
        </is>
      </c>
      <c r="B87" s="17" t="inlineStr">
        <is>
          <t>C. Climatização e térmica</t>
        </is>
      </c>
      <c r="C87" s="17" t="inlineStr">
        <is>
          <t>Condensador evaporativo</t>
        </is>
      </c>
      <c r="D87" s="17" t="inlineStr">
        <is>
          <t>Condensador de refrigeração industrial (câmaras frias, logístico) que usa spray e bacia próprios</t>
        </is>
      </c>
      <c r="E87" s="17" t="inlineStr">
        <is>
          <t>Bacia e spray com Legionella; reposição por boia ligada ao potável; produto químico dosado</t>
        </is>
      </c>
      <c r="F87" s="17" t="inlineStr">
        <is>
          <t>3,8</t>
        </is>
      </c>
      <c r="G87" s="17" t="inlineStr">
        <is>
          <t>✔ ASHRAE Guideline 12 (aerossol; ◻ aplicabilidade)</t>
        </is>
      </c>
      <c r="H87" s="18" t="n"/>
      <c r="I87" s="13" t="n"/>
      <c r="J87" s="13" t="n"/>
      <c r="K87" s="14" t="n"/>
      <c r="L87" s="13" t="n"/>
      <c r="M87" s="17">
        <f>IF(H87="S","Existe",IF(H87="N","Não existe",IF(H87="?","PIOR CASO: tratar como sem proteção","Não preenchido")))</f>
        <v/>
      </c>
      <c r="N87" s="17">
        <f>IF(H87="?","VISTORIAR",IF(H87="","A PREENCHER",""))</f>
        <v/>
      </c>
      <c r="O87" s="17" t="n">
        <v>9</v>
      </c>
    </row>
    <row r="88">
      <c r="A88" s="17" t="inlineStr">
        <is>
          <t>C28</t>
        </is>
      </c>
      <c r="B88" s="17" t="inlineStr">
        <is>
          <t>C. Climatização e térmica</t>
        </is>
      </c>
      <c r="C88" s="17" t="inlineStr">
        <is>
          <t>Torre de circuito fechado (fluid cooler)</t>
        </is>
      </c>
      <c r="D88" s="17" t="inlineStr">
        <is>
          <t>Serpentina fechada com spray externo; circuito interno com glicol</t>
        </is>
      </c>
      <c r="E88" s="17" t="inlineStr">
        <is>
          <t>Spray externo com Legionella; vazamento da serpentina leva glicol à bacia</t>
        </is>
      </c>
      <c r="F88" s="17" t="inlineStr">
        <is>
          <t>1,3,8</t>
        </is>
      </c>
      <c r="G88" s="17" t="inlineStr">
        <is>
          <t>✔ ASHRAE Guideline 12 (aerossol; ◻ aplicabilidade)</t>
        </is>
      </c>
      <c r="H88" s="18" t="n"/>
      <c r="I88" s="13" t="n"/>
      <c r="J88" s="13" t="n"/>
      <c r="K88" s="14" t="n"/>
      <c r="L88" s="13" t="n"/>
      <c r="M88" s="17">
        <f>IF(H88="S","Existe",IF(H88="N","Não existe",IF(H88="?","PIOR CASO: tratar como sem proteção","Não preenchido")))</f>
        <v/>
      </c>
      <c r="N88" s="17">
        <f>IF(H88="?","VISTORIAR",IF(H88="","A PREENCHER",""))</f>
        <v/>
      </c>
      <c r="O88" s="17" t="n">
        <v>9</v>
      </c>
    </row>
    <row r="89">
      <c r="A89" s="17" t="inlineStr">
        <is>
          <t>C29</t>
        </is>
      </c>
      <c r="B89" s="17" t="inlineStr">
        <is>
          <t>C. Climatização e térmica</t>
        </is>
      </c>
      <c r="C89" s="17" t="inlineStr">
        <is>
          <t>Tratamento de torre por ozônio, UV ou físico (sem biocida químico)</t>
        </is>
      </c>
      <c r="D89" s="17" t="inlineStr">
        <is>
          <t>Ozonizador, câmara UV ou dispositivo magnético/ultrassônico em derivação</t>
        </is>
      </c>
      <c r="E89" s="17" t="inlineStr">
        <is>
          <t>Sem residual na bacia; efeito depende do tempo de contato e do fluxo desviado; sonda ou lâmpada falha sem alarme; falsa sensação de controle</t>
        </is>
      </c>
      <c r="F89" s="17" t="inlineStr">
        <is>
          <t>3,8</t>
        </is>
      </c>
      <c r="G89" s="17" t="inlineStr">
        <is>
          <t>◻ —</t>
        </is>
      </c>
      <c r="H89" s="18" t="n"/>
      <c r="I89" s="13" t="n"/>
      <c r="J89" s="13" t="n"/>
      <c r="K89" s="14" t="n"/>
      <c r="L89" s="13" t="n"/>
      <c r="M89" s="17">
        <f>IF(H89="S","Existe",IF(H89="N","Não existe",IF(H89="?","PIOR CASO: tratar como sem proteção","Não preenchido")))</f>
        <v/>
      </c>
      <c r="N89" s="17">
        <f>IF(H89="?","VISTORIAR",IF(H89="","A PREENCHER",""))</f>
        <v/>
      </c>
      <c r="O89" s="17" t="n">
        <v>9</v>
      </c>
    </row>
    <row r="90">
      <c r="A90" s="17" t="inlineStr">
        <is>
          <t>C30</t>
        </is>
      </c>
      <c r="B90" s="17" t="inlineStr">
        <is>
          <t>C. Climatização e térmica</t>
        </is>
      </c>
      <c r="C90" s="17" t="inlineStr">
        <is>
          <t>Filtragem lateral e separador de sólidos da torre</t>
        </is>
      </c>
      <c r="D90" s="17" t="inlineStr">
        <is>
          <t>Filtro de areia, hidrociclone ou filtro de cartucho em derivação</t>
        </is>
      </c>
      <c r="E90" s="17" t="inlineStr">
        <is>
          <t>Filtro saturado; retrolavagem com potável direto (interligação) ou descarga ao esgoto sem folga</t>
        </is>
      </c>
      <c r="F90" s="17" t="inlineStr">
        <is>
          <t>3,8</t>
        </is>
      </c>
      <c r="G90" s="17" t="inlineStr">
        <is>
          <t>◻ —</t>
        </is>
      </c>
      <c r="H90" s="18" t="n"/>
      <c r="I90" s="13" t="n"/>
      <c r="J90" s="13" t="n"/>
      <c r="K90" s="14" t="n"/>
      <c r="L90" s="13" t="n"/>
      <c r="M90" s="17">
        <f>IF(H90="S","Existe",IF(H90="N","Não existe",IF(H90="?","PIOR CASO: tratar como sem proteção","Não preenchido")))</f>
        <v/>
      </c>
      <c r="N90" s="17">
        <f>IF(H90="?","VISTORIAR",IF(H90="","A PREENCHER",""))</f>
        <v/>
      </c>
      <c r="O90" s="17" t="n">
        <v>9</v>
      </c>
    </row>
    <row r="91">
      <c r="A91" s="17" t="inlineStr">
        <is>
          <t>C31</t>
        </is>
      </c>
      <c r="B91" s="17" t="inlineStr">
        <is>
          <t>C. Climatização e térmica</t>
        </is>
      </c>
      <c r="C91" s="17" t="inlineStr">
        <is>
          <t>Purga e descarga da torre (condutividade e destino)</t>
        </is>
      </c>
      <c r="D91" s="17" t="inlineStr">
        <is>
          <t>Purga contínua ou por condutividade; descarga para ralo ou coletor</t>
        </is>
      </c>
      <c r="E91" s="17" t="inlineStr">
        <is>
          <t>Sensor falha: purga excessiva (falta de água) ou nula (incrustação); purga com biocida ao pluvial; descarga ligada ao esgoto sem folga</t>
        </is>
      </c>
      <c r="F91" s="17" t="inlineStr">
        <is>
          <t>2,4,8</t>
        </is>
      </c>
      <c r="G91" s="17" t="inlineStr">
        <is>
          <t>◻ —</t>
        </is>
      </c>
      <c r="H91" s="18" t="n"/>
      <c r="I91" s="13" t="n"/>
      <c r="J91" s="13" t="n"/>
      <c r="K91" s="14" t="n"/>
      <c r="L91" s="13" t="n"/>
      <c r="M91" s="17">
        <f>IF(H91="S","Existe",IF(H91="N","Não existe",IF(H91="?","PIOR CASO: tratar como sem proteção","Não preenchido")))</f>
        <v/>
      </c>
      <c r="N91" s="17">
        <f>IF(H91="?","VISTORIAR",IF(H91="","A PREENCHER",""))</f>
        <v/>
      </c>
      <c r="O91" s="17" t="n">
        <v>9</v>
      </c>
    </row>
    <row r="92">
      <c r="A92" s="17" t="inlineStr">
        <is>
          <t>C32</t>
        </is>
      </c>
      <c r="B92" s="17" t="inlineStr">
        <is>
          <t>C. Climatização e térmica</t>
        </is>
      </c>
      <c r="C92" s="17" t="inlineStr">
        <is>
          <t>Linha de equalização e tanque comum entre torres</t>
        </is>
      </c>
      <c r="D92" s="17" t="inlineStr">
        <is>
          <t>Tubo de equalização entre bacias de várias torres ou células</t>
        </is>
      </c>
      <c r="E92" s="17" t="inlineStr">
        <is>
          <t>Contaminação entre torres; torre parada estagna e recebe da torre ativa; contaminação de uma contamina todas</t>
        </is>
      </c>
      <c r="F92" s="17" t="inlineStr">
        <is>
          <t>3,8</t>
        </is>
      </c>
      <c r="G92" s="17" t="inlineStr">
        <is>
          <t>◻ —</t>
        </is>
      </c>
      <c r="H92" s="18" t="n"/>
      <c r="I92" s="13" t="n"/>
      <c r="J92" s="13" t="n"/>
      <c r="K92" s="14" t="n"/>
      <c r="L92" s="13" t="n"/>
      <c r="M92" s="17">
        <f>IF(H92="S","Existe",IF(H92="N","Não existe",IF(H92="?","PIOR CASO: tratar como sem proteção","Não preenchido")))</f>
        <v/>
      </c>
      <c r="N92" s="17">
        <f>IF(H92="?","VISTORIAR",IF(H92="","A PREENCHER",""))</f>
        <v/>
      </c>
      <c r="O92" s="17" t="n">
        <v>9</v>
      </c>
    </row>
    <row r="93">
      <c r="A93" s="17" t="inlineStr">
        <is>
          <t>C33</t>
        </is>
      </c>
      <c r="B93" s="17" t="inlineStr">
        <is>
          <t>C. Climatização e térmica</t>
        </is>
      </c>
      <c r="C93" s="17" t="inlineStr">
        <is>
          <t>Circuito de glicol e abastecedor de glicol (glycol feeder)</t>
        </is>
      </c>
      <c r="D93" s="17" t="inlineStr">
        <is>
          <t>Tanque de glicol e bomba de enchimento do circuito</t>
        </is>
      </c>
      <c r="E93" s="17" t="inlineStr">
        <is>
          <t>Bomba de enchimento ligada à rede por mangueira com retenção única; glicol misturado ao potável</t>
        </is>
      </c>
      <c r="F93" s="17" t="inlineStr">
        <is>
          <t>1</t>
        </is>
      </c>
      <c r="G93" s="17" t="inlineStr">
        <is>
          <t>◻ —</t>
        </is>
      </c>
      <c r="H93" s="18" t="n"/>
      <c r="I93" s="13" t="n"/>
      <c r="J93" s="13" t="n"/>
      <c r="K93" s="14" t="n"/>
      <c r="L93" s="13" t="n"/>
      <c r="M93" s="17">
        <f>IF(H93="S","Existe",IF(H93="N","Não existe",IF(H93="?","PIOR CASO: tratar como sem proteção","Não preenchido")))</f>
        <v/>
      </c>
      <c r="N93" s="17">
        <f>IF(H93="?","VISTORIAR",IF(H93="","A PREENCHER",""))</f>
        <v/>
      </c>
      <c r="O93" s="17" t="n">
        <v>8</v>
      </c>
    </row>
    <row r="94">
      <c r="A94" s="17" t="inlineStr">
        <is>
          <t>C34</t>
        </is>
      </c>
      <c r="B94" s="17" t="inlineStr">
        <is>
          <t>C. Climatização e térmica</t>
        </is>
      </c>
      <c r="C94" s="17" t="inlineStr">
        <is>
          <t>Armazenamento de produtos químicos de tratamento</t>
        </is>
      </c>
      <c r="D94" s="17" t="inlineStr">
        <is>
          <t>Bombonas, tanques de inibidor, biocida, ácido, hipoclorito; bacia de contenção</t>
        </is>
      </c>
      <c r="E94" s="17" t="inlineStr">
        <is>
          <t>Vazamento sem contenção; ladrão da bacia ligado ao ralo; mistura de incompatíveis (hipoclorito + ácido libera cloro); sem FISPQ à vista</t>
        </is>
      </c>
      <c r="F94" s="17" t="inlineStr">
        <is>
          <t>1,4,8</t>
        </is>
      </c>
      <c r="G94" s="17" t="inlineStr">
        <is>
          <t>◻ NBR 17505 (se líquido inflamável) · ◻ FISPQ</t>
        </is>
      </c>
      <c r="H94" s="18" t="n"/>
      <c r="I94" s="13" t="n"/>
      <c r="J94" s="13" t="n"/>
      <c r="K94" s="14" t="n"/>
      <c r="L94" s="13" t="n"/>
      <c r="M94" s="17">
        <f>IF(H94="S","Existe",IF(H94="N","Não existe",IF(H94="?","PIOR CASO: tratar como sem proteção","Não preenchido")))</f>
        <v/>
      </c>
      <c r="N94" s="17">
        <f>IF(H94="?","VISTORIAR",IF(H94="","A PREENCHER",""))</f>
        <v/>
      </c>
      <c r="O94" s="17" t="n">
        <v>9</v>
      </c>
    </row>
    <row r="95">
      <c r="A95" s="17" t="inlineStr">
        <is>
          <t>C35</t>
        </is>
      </c>
      <c r="B95" s="17" t="inlineStr">
        <is>
          <t>C. Climatização e térmica</t>
        </is>
      </c>
      <c r="C95" s="17" t="inlineStr">
        <is>
          <t>Controlador de torre e circuito (condutividade, ORP, pH)</t>
        </is>
      </c>
      <c r="D95" s="17" t="inlineStr">
        <is>
          <t>Controlador, sondas, bombas dosadoras, alarmes</t>
        </is>
      </c>
      <c r="E95" s="17" t="inlineStr">
        <is>
          <t>Sonda suja ou descalibrada; alarme sem destinatário (ver H6); controlador em manual desde a última manutenção</t>
        </is>
      </c>
      <c r="F95" s="17" t="inlineStr">
        <is>
          <t>3,8,T</t>
        </is>
      </c>
      <c r="G95" s="17" t="inlineStr">
        <is>
          <t>◻ —</t>
        </is>
      </c>
      <c r="H95" s="18" t="n"/>
      <c r="I95" s="13" t="n"/>
      <c r="J95" s="13" t="n"/>
      <c r="K95" s="14" t="n"/>
      <c r="L95" s="13" t="n"/>
      <c r="M95" s="17">
        <f>IF(H95="S","Existe",IF(H95="N","Não existe",IF(H95="?","PIOR CASO: tratar como sem proteção","Não preenchido")))</f>
        <v/>
      </c>
      <c r="N95" s="17">
        <f>IF(H95="?","VISTORIAR",IF(H95="","A PREENCHER",""))</f>
        <v/>
      </c>
      <c r="O95" s="17" t="n">
        <v>9</v>
      </c>
    </row>
    <row r="96">
      <c r="A96" s="17" t="inlineStr">
        <is>
          <t>C36</t>
        </is>
      </c>
      <c r="B96" s="17" t="inlineStr">
        <is>
          <t>C. Climatização e térmica</t>
        </is>
      </c>
      <c r="C96" s="17" t="inlineStr">
        <is>
          <t>Vaso de expansão fechado e válvulas de alívio dos circuitos</t>
        </is>
      </c>
      <c r="D96" s="17" t="inlineStr">
        <is>
          <t>Vaso com diafragma e válvulas de segurança</t>
        </is>
      </c>
      <c r="E96" s="17" t="inlineStr">
        <is>
          <t>Diafragma rompido; alívio gotejando ligado ao ralo; perda de pressão que faz a reposição automática compensar</t>
        </is>
      </c>
      <c r="F96" s="17" t="inlineStr">
        <is>
          <t>1,4</t>
        </is>
      </c>
      <c r="G96" s="17" t="inlineStr">
        <is>
          <t>◻ NR-13 (conferir)</t>
        </is>
      </c>
      <c r="H96" s="18" t="n"/>
      <c r="I96" s="13" t="n"/>
      <c r="J96" s="13" t="n"/>
      <c r="K96" s="14" t="n"/>
      <c r="L96" s="13" t="n"/>
      <c r="M96" s="17">
        <f>IF(H96="S","Existe",IF(H96="N","Não existe",IF(H96="?","PIOR CASO: tratar como sem proteção","Não preenchido")))</f>
        <v/>
      </c>
      <c r="N96" s="17">
        <f>IF(H96="?","VISTORIAR",IF(H96="","A PREENCHER",""))</f>
        <v/>
      </c>
      <c r="O96" s="17" t="n">
        <v>8</v>
      </c>
    </row>
    <row r="97">
      <c r="A97" s="17" t="inlineStr">
        <is>
          <t>C37</t>
        </is>
      </c>
      <c r="B97" s="17" t="inlineStr">
        <is>
          <t>C. Climatização e térmica</t>
        </is>
      </c>
      <c r="C97" s="17" t="inlineStr">
        <is>
          <t>Esvaziamento, descarte e enchimento de circuitos</t>
        </is>
      </c>
      <c r="D97" s="17" t="inlineStr">
        <is>
          <t>Descarga do circuito para manutenção, limpeza ou troca de glicol; enchimento por mangueira</t>
        </is>
      </c>
      <c r="E97" s="17" t="inlineStr">
        <is>
          <t>Água com químicos vai ao pluvial ou ao esgoto sem autorização; enchimento por mangueira direta ao circuito (ver C17)</t>
        </is>
      </c>
      <c r="F97" s="17" t="inlineStr">
        <is>
          <t>1,4</t>
        </is>
      </c>
      <c r="G97" s="17" t="inlineStr">
        <is>
          <t>✔ CONAMA 430/2011 (lançamento de efluentes; ◻ aplicação a rede pública)</t>
        </is>
      </c>
      <c r="H97" s="18" t="n"/>
      <c r="I97" s="13" t="n"/>
      <c r="J97" s="13" t="n"/>
      <c r="K97" s="14" t="n"/>
      <c r="L97" s="13" t="n"/>
      <c r="M97" s="17">
        <f>IF(H97="S","Existe",IF(H97="N","Não existe",IF(H97="?","PIOR CASO: tratar como sem proteção","Não preenchido")))</f>
        <v/>
      </c>
      <c r="N97" s="17">
        <f>IF(H97="?","VISTORIAR",IF(H97="","A PREENCHER",""))</f>
        <v/>
      </c>
      <c r="O97" s="17" t="n">
        <v>8</v>
      </c>
    </row>
    <row r="98">
      <c r="A98" s="17" t="inlineStr">
        <is>
          <t>C38</t>
        </is>
      </c>
      <c r="B98" s="17" t="inlineStr">
        <is>
          <t>C. Climatização e térmica</t>
        </is>
      </c>
      <c r="C98" s="17" t="inlineStr">
        <is>
          <t>Limpeza química, passivação e serviços temporários nos circuitos</t>
        </is>
      </c>
      <c r="D98" s="17" t="inlineStr">
        <is>
          <t>Bombas, tanques e mangueiras de terceiros ligados à torre ou ao circuito</t>
        </is>
      </c>
      <c r="E98" s="17" t="inlineStr">
        <is>
          <t>Mangueira do prestador ligada ao potável durante o serviço e esquecida; descarte de efluente químico</t>
        </is>
      </c>
      <c r="F98" s="17" t="inlineStr">
        <is>
          <t>1,3,8</t>
        </is>
      </c>
      <c r="G98" s="17" t="inlineStr">
        <is>
          <t>◻ —</t>
        </is>
      </c>
      <c r="H98" s="18" t="n"/>
      <c r="I98" s="13" t="n"/>
      <c r="J98" s="13" t="n"/>
      <c r="K98" s="14" t="n"/>
      <c r="L98" s="13" t="n"/>
      <c r="M98" s="17">
        <f>IF(H98="S","Existe",IF(H98="N","Não existe",IF(H98="?","PIOR CASO: tratar como sem proteção","Não preenchido")))</f>
        <v/>
      </c>
      <c r="N98" s="17">
        <f>IF(H98="?","VISTORIAR",IF(H98="","A PREENCHER",""))</f>
        <v/>
      </c>
      <c r="O98" s="17" t="n">
        <v>9</v>
      </c>
    </row>
    <row r="99">
      <c r="A99" s="17" t="inlineStr">
        <is>
          <t>D1</t>
        </is>
      </c>
      <c r="B99" s="17" t="inlineStr">
        <is>
          <t>D. Incêndio</t>
        </is>
      </c>
      <c r="C99" s="17" t="inlineStr">
        <is>
          <t>Reserva técnica de incêndio (RTI)</t>
        </is>
      </c>
      <c r="D99" s="17" t="inlineStr">
        <is>
          <t>Volume de água destinado só ao incêndio, na caixa ou em reservatório separado</t>
        </is>
      </c>
      <c r="E99" s="17" t="inlineStr">
        <is>
          <t>Água parada vira "potável velha"; reposição liga ao potável sem barreira (ver D15); consumo comum usa a RTI (ver D9)</t>
        </is>
      </c>
      <c r="F99" s="17" t="inlineStr">
        <is>
          <t>1,6,9</t>
        </is>
      </c>
      <c r="G99" s="17" t="inlineStr">
        <is>
          <t>✔ IT 22/2025 CBPMESP (SP) · ◻ IT do estado do prédio</t>
        </is>
      </c>
      <c r="H99" s="18" t="n"/>
      <c r="I99" s="13" t="n"/>
      <c r="J99" s="13" t="n"/>
      <c r="K99" s="14" t="n"/>
      <c r="L99" s="13" t="n"/>
      <c r="M99" s="17">
        <f>IF(H99="S","Existe",IF(H99="N","Não existe",IF(H99="?","PIOR CASO: tratar como sem proteção","Não preenchido")))</f>
        <v/>
      </c>
      <c r="N99" s="17">
        <f>IF(H99="?","VISTORIAR",IF(H99="","A PREENCHER",""))</f>
        <v/>
      </c>
      <c r="O99" s="17" t="n">
        <v>10</v>
      </c>
    </row>
    <row r="100">
      <c r="A100" s="17" t="inlineStr">
        <is>
          <t>D2</t>
        </is>
      </c>
      <c r="B100" s="17" t="inlineStr">
        <is>
          <t>D. Incêndio</t>
        </is>
      </c>
      <c r="C100" s="17" t="inlineStr">
        <is>
          <t>Bombas de incêndio</t>
        </is>
      </c>
      <c r="D100" s="17" t="inlineStr">
        <is>
          <t>Bomba principal (elétrica ou diesel), reserva e jockey; quadro</t>
        </is>
      </c>
      <c r="E100" s="17" t="inlineStr">
        <is>
          <t>Não parte; diesel sem combustível; quadro em manual ou desligado; teste nunca feito</t>
        </is>
      </c>
      <c r="F100" s="17" t="inlineStr">
        <is>
          <t>5,6</t>
        </is>
      </c>
      <c r="G100" s="17" t="inlineStr">
        <is>
          <t>✔ NBR 13714 (ed. 2000; ◻ confirmar edição vigente)</t>
        </is>
      </c>
      <c r="H100" s="18" t="n"/>
      <c r="I100" s="13" t="n"/>
      <c r="J100" s="13" t="n"/>
      <c r="K100" s="14" t="n"/>
      <c r="L100" s="13" t="n"/>
      <c r="M100" s="17">
        <f>IF(H100="S","Existe",IF(H100="N","Não existe",IF(H100="?","PIOR CASO: tratar como sem proteção","Não preenchido")))</f>
        <v/>
      </c>
      <c r="N100" s="17">
        <f>IF(H100="?","VISTORIAR",IF(H100="","A PREENCHER",""))</f>
        <v/>
      </c>
      <c r="O100" s="17" t="n">
        <v>10</v>
      </c>
    </row>
    <row r="101">
      <c r="A101" s="17" t="inlineStr">
        <is>
          <t>D3</t>
        </is>
      </c>
      <c r="B101" s="17" t="inlineStr">
        <is>
          <t>D. Incêndio</t>
        </is>
      </c>
      <c r="C101" s="17" t="inlineStr">
        <is>
          <t>Hidrantes e mangotinhos</t>
        </is>
      </c>
      <c r="D101" s="17" t="inlineStr">
        <is>
          <t>Rede, abrigos, mangueiras, esguichos</t>
        </is>
      </c>
      <c r="E101" s="17" t="inlineStr">
        <is>
          <t>Registro fechado; mangueira vencida; rede com vazamento; abrigo trancado</t>
        </is>
      </c>
      <c r="F101" s="17" t="inlineStr">
        <is>
          <t>6</t>
        </is>
      </c>
      <c r="G101" s="17" t="inlineStr">
        <is>
          <t>✔ NBR 13714</t>
        </is>
      </c>
      <c r="H101" s="18" t="n"/>
      <c r="I101" s="13" t="n"/>
      <c r="J101" s="13" t="n"/>
      <c r="K101" s="14" t="n"/>
      <c r="L101" s="13" t="n"/>
      <c r="M101" s="17">
        <f>IF(H101="S","Existe",IF(H101="N","Não existe",IF(H101="?","PIOR CASO: tratar como sem proteção","Não preenchido")))</f>
        <v/>
      </c>
      <c r="N101" s="17">
        <f>IF(H101="?","VISTORIAR",IF(H101="","A PREENCHER",""))</f>
        <v/>
      </c>
      <c r="O101" s="17" t="n">
        <v>10</v>
      </c>
    </row>
    <row r="102">
      <c r="A102" s="17" t="inlineStr">
        <is>
          <t>D4</t>
        </is>
      </c>
      <c r="B102" s="17" t="inlineStr">
        <is>
          <t>D. Incêndio</t>
        </is>
      </c>
      <c r="C102" s="17" t="inlineStr">
        <is>
          <t>Sprinklers (chuveiros automáticos)</t>
        </is>
      </c>
      <c r="D102" s="17" t="inlineStr">
        <is>
          <t>Rede molhada, seca, pré-ação ou dilúvio; válvula de governo e alarme</t>
        </is>
      </c>
      <c r="E102" s="17" t="inlineStr">
        <is>
          <t>Corrosão; falso acionamento; rede seca com umidade; válvula de controle fechada (rede fora de serviço)</t>
        </is>
      </c>
      <c r="F102" s="17" t="inlineStr">
        <is>
          <t>4,6</t>
        </is>
      </c>
      <c r="G102" s="17" t="inlineStr">
        <is>
          <t>✔ NBR 10897:2020</t>
        </is>
      </c>
      <c r="H102" s="18" t="n"/>
      <c r="I102" s="13" t="n"/>
      <c r="J102" s="13" t="n"/>
      <c r="K102" s="14" t="n"/>
      <c r="L102" s="13" t="n"/>
      <c r="M102" s="17">
        <f>IF(H102="S","Existe",IF(H102="N","Não existe",IF(H102="?","PIOR CASO: tratar como sem proteção","Não preenchido")))</f>
        <v/>
      </c>
      <c r="N102" s="17">
        <f>IF(H102="?","VISTORIAR",IF(H102="","A PREENCHER",""))</f>
        <v/>
      </c>
      <c r="O102" s="17" t="n">
        <v>10</v>
      </c>
    </row>
    <row r="103">
      <c r="A103" s="17" t="inlineStr">
        <is>
          <t>D5</t>
        </is>
      </c>
      <c r="B103" s="17" t="inlineStr">
        <is>
          <t>D. Incêndio</t>
        </is>
      </c>
      <c r="C103" s="17" t="inlineStr">
        <is>
          <t>ESFR / alta vazão em armazéns</t>
        </is>
      </c>
      <c r="D103" s="17" t="inlineStr">
        <is>
          <t>Sprinklers de supressão para estoque alto em galpão logístico</t>
        </is>
      </c>
      <c r="E103" s="17" t="inlineStr">
        <is>
          <t>Rede subdimensionada para o estoque atual; obstrução por estoque; pressão insuficiente</t>
        </is>
      </c>
      <c r="F103" s="17" t="inlineStr">
        <is>
          <t>5,6</t>
        </is>
      </c>
      <c r="G103" s="17" t="inlineStr">
        <is>
          <t>✔ NBR 10897:2020 (◻ conferir se cobre ESFR)</t>
        </is>
      </c>
      <c r="H103" s="18" t="n"/>
      <c r="I103" s="13" t="n"/>
      <c r="J103" s="13" t="n"/>
      <c r="K103" s="14" t="n"/>
      <c r="L103" s="13" t="n"/>
      <c r="M103" s="17">
        <f>IF(H103="S","Existe",IF(H103="N","Não existe",IF(H103="?","PIOR CASO: tratar como sem proteção","Não preenchido")))</f>
        <v/>
      </c>
      <c r="N103" s="17">
        <f>IF(H103="?","VISTORIAR",IF(H103="","A PREENCHER",""))</f>
        <v/>
      </c>
      <c r="O103" s="17" t="n">
        <v>10</v>
      </c>
    </row>
    <row r="104">
      <c r="A104" s="17" t="inlineStr">
        <is>
          <t>D6</t>
        </is>
      </c>
      <c r="B104" s="17" t="inlineStr">
        <is>
          <t>D. Incêndio</t>
        </is>
      </c>
      <c r="C104" s="17" t="inlineStr">
        <is>
          <t>Hidrante de recalque / conexão siamesa</t>
        </is>
      </c>
      <c r="D104" s="17" t="inlineStr">
        <is>
          <t>Entrada externa para o Corpo de Bombeiros</t>
        </is>
      </c>
      <c r="E104" s="17" t="inlineStr">
        <is>
          <t>Tampa solta; registro fechado; rede entupida</t>
        </is>
      </c>
      <c r="F104" s="17" t="inlineStr">
        <is>
          <t>6</t>
        </is>
      </c>
      <c r="G104" s="17" t="inlineStr">
        <is>
          <t>✔ NBR 13714</t>
        </is>
      </c>
      <c r="H104" s="18" t="n"/>
      <c r="I104" s="13" t="n"/>
      <c r="J104" s="13" t="n"/>
      <c r="K104" s="14" t="n"/>
      <c r="L104" s="13" t="n"/>
      <c r="M104" s="17">
        <f>IF(H104="S","Existe",IF(H104="N","Não existe",IF(H104="?","PIOR CASO: tratar como sem proteção","Não preenchido")))</f>
        <v/>
      </c>
      <c r="N104" s="17">
        <f>IF(H104="?","VISTORIAR",IF(H104="","A PREENCHER",""))</f>
        <v/>
      </c>
      <c r="O104" s="17" t="n">
        <v>10</v>
      </c>
    </row>
    <row r="105">
      <c r="A105" s="17" t="inlineStr">
        <is>
          <t>D7</t>
        </is>
      </c>
      <c r="B105" s="17" t="inlineStr">
        <is>
          <t>D. Incêndio</t>
        </is>
      </c>
      <c r="C105" s="17" t="inlineStr">
        <is>
          <t>Espuma (LGE)</t>
        </is>
      </c>
      <c r="D105" s="17" t="inlineStr">
        <is>
          <t>Líquido gerador de espuma em áreas de risco (combustível, subsolo, tanque)</t>
        </is>
      </c>
      <c r="E105" s="17" t="inlineStr">
        <is>
          <t>Líquido contaminando a rede de teste; proporcionador sem teste; validade do LGE</t>
        </is>
      </c>
      <c r="F105" s="17" t="inlineStr">
        <is>
          <t>1,6</t>
        </is>
      </c>
      <c r="G105" s="17" t="inlineStr">
        <is>
          <t>◻ —</t>
        </is>
      </c>
      <c r="H105" s="18" t="n"/>
      <c r="I105" s="13" t="n"/>
      <c r="J105" s="13" t="n"/>
      <c r="K105" s="14" t="n"/>
      <c r="L105" s="13" t="n"/>
      <c r="M105" s="17">
        <f>IF(H105="S","Existe",IF(H105="N","Não existe",IF(H105="?","PIOR CASO: tratar como sem proteção","Não preenchido")))</f>
        <v/>
      </c>
      <c r="N105" s="17">
        <f>IF(H105="?","VISTORIAR",IF(H105="","A PREENCHER",""))</f>
        <v/>
      </c>
      <c r="O105" s="17" t="n">
        <v>10</v>
      </c>
    </row>
    <row r="106">
      <c r="A106" s="17" t="inlineStr">
        <is>
          <t>D8</t>
        </is>
      </c>
      <c r="B106" s="17" t="inlineStr">
        <is>
          <t>D. Incêndio</t>
        </is>
      </c>
      <c r="C106" s="17" t="inlineStr">
        <is>
          <t>Descarga de teste</t>
        </is>
      </c>
      <c r="D106" s="17" t="inlineStr">
        <is>
          <t>Água usada em teste e manutenção de bombas e sprinklers</t>
        </is>
      </c>
      <c r="E106" s="17" t="inlineStr">
        <is>
          <t>Descarte sem destino; perda da reserva; reposição por mangueira ligada ao potável</t>
        </is>
      </c>
      <c r="F106" s="17" t="inlineStr">
        <is>
          <t>1,2,6</t>
        </is>
      </c>
      <c r="G106" s="17" t="inlineStr">
        <is>
          <t>◻ —</t>
        </is>
      </c>
      <c r="H106" s="18" t="n"/>
      <c r="I106" s="13" t="n"/>
      <c r="J106" s="13" t="n"/>
      <c r="K106" s="14" t="n"/>
      <c r="L106" s="13" t="n"/>
      <c r="M106" s="17">
        <f>IF(H106="S","Existe",IF(H106="N","Não existe",IF(H106="?","PIOR CASO: tratar como sem proteção","Não preenchido")))</f>
        <v/>
      </c>
      <c r="N106" s="17">
        <f>IF(H106="?","VISTORIAR",IF(H106="","A PREENCHER",""))</f>
        <v/>
      </c>
      <c r="O106" s="17" t="n">
        <v>10</v>
      </c>
    </row>
    <row r="107">
      <c r="A107" s="17" t="inlineStr">
        <is>
          <t>D9</t>
        </is>
      </c>
      <c r="B107" s="17" t="inlineStr">
        <is>
          <t>D. Incêndio</t>
        </is>
      </c>
      <c r="C107" s="17" t="inlineStr">
        <is>
          <t>RTI em célula dedicada e saída de consumo acima do volume de reserva</t>
        </is>
      </c>
      <c r="D107" s="17" t="inlineStr">
        <is>
          <t>Reservatório com célula só de incêndio, ou saída de consumo em cota acima da RTI</t>
        </is>
      </c>
      <c r="E107" s="17" t="inlineStr">
        <is>
          <t>Registro de interligação entre células aberto "temporariamente" esvazia a RTI; saída de consumo rebaixada; célula de incêndio sem renovação</t>
        </is>
      </c>
      <c r="F107" s="17" t="inlineStr">
        <is>
          <t>2,6,9</t>
        </is>
      </c>
      <c r="G107" s="17" t="inlineStr">
        <is>
          <t>◻ IT do estado · ✔ NBR 13714 (reservatório; ◻ cláusula)</t>
        </is>
      </c>
      <c r="H107" s="18" t="n"/>
      <c r="I107" s="13" t="n"/>
      <c r="J107" s="13" t="n"/>
      <c r="K107" s="14" t="n"/>
      <c r="L107" s="13" t="n"/>
      <c r="M107" s="17">
        <f>IF(H107="S","Existe",IF(H107="N","Não existe",IF(H107="?","PIOR CASO: tratar como sem proteção","Não preenchido")))</f>
        <v/>
      </c>
      <c r="N107" s="17">
        <f>IF(H107="?","VISTORIAR",IF(H107="","A PREENCHER",""))</f>
        <v/>
      </c>
      <c r="O107" s="17" t="n">
        <v>10</v>
      </c>
    </row>
    <row r="108">
      <c r="A108" s="17" t="inlineStr">
        <is>
          <t>D10</t>
        </is>
      </c>
      <c r="B108" s="17" t="inlineStr">
        <is>
          <t>D. Incêndio</t>
        </is>
      </c>
      <c r="C108" s="17" t="inlineStr">
        <is>
          <t>Hidrante de passeio / de coluna externa (pátio)</t>
        </is>
      </c>
      <c r="D108" s="17" t="inlineStr">
        <is>
          <t>Hidrante no pátio logístico ou na calçada; diferente do hidrante de parede (abrigo interno)</t>
        </is>
      </c>
      <c r="E108" s="17" t="inlineStr">
        <is>
          <t>Atingido por caminhão; registro travado; tampa e engate sem proteção; água suja na abertura</t>
        </is>
      </c>
      <c r="F108" s="17" t="inlineStr">
        <is>
          <t>6</t>
        </is>
      </c>
      <c r="G108" s="17" t="inlineStr">
        <is>
          <t>✔ NBR 13714</t>
        </is>
      </c>
      <c r="H108" s="18" t="n"/>
      <c r="I108" s="13" t="n"/>
      <c r="J108" s="13" t="n"/>
      <c r="K108" s="14" t="n"/>
      <c r="L108" s="13" t="n"/>
      <c r="M108" s="17">
        <f>IF(H108="S","Existe",IF(H108="N","Não existe",IF(H108="?","PIOR CASO: tratar como sem proteção","Não preenchido")))</f>
        <v/>
      </c>
      <c r="N108" s="17">
        <f>IF(H108="?","VISTORIAR",IF(H108="","A PREENCHER",""))</f>
        <v/>
      </c>
      <c r="O108" s="17" t="n">
        <v>10</v>
      </c>
    </row>
    <row r="109">
      <c r="A109" s="17" t="inlineStr">
        <is>
          <t>D11</t>
        </is>
      </c>
      <c r="B109" s="17" t="inlineStr">
        <is>
          <t>D. Incêndio</t>
        </is>
      </c>
      <c r="C109" s="17" t="inlineStr">
        <is>
          <t>Anel de hidrantes enterrado (rede de pátio)</t>
        </is>
      </c>
      <c r="D109" s="17" t="inlineStr">
        <is>
          <t>Tubulação enterrada em ferro dúctil, PEAD ou aço, que atende o galpão e os hidrantes</t>
        </is>
      </c>
      <c r="E109" s="17" t="inlineStr">
        <is>
          <t>Corrosão e vazamento sob piso (não aparece); jockey disparando sem parar; válvulas de seccionamento sem mapa</t>
        </is>
      </c>
      <c r="F109" s="17" t="inlineStr">
        <is>
          <t>4,6</t>
        </is>
      </c>
      <c r="G109" s="17" t="inlineStr">
        <is>
          <t>✔ NBR 13714 (◻ cláusula)</t>
        </is>
      </c>
      <c r="H109" s="18" t="n"/>
      <c r="I109" s="13" t="n"/>
      <c r="J109" s="13" t="n"/>
      <c r="K109" s="14" t="n"/>
      <c r="L109" s="13" t="n"/>
      <c r="M109" s="17">
        <f>IF(H109="S","Existe",IF(H109="N","Não existe",IF(H109="?","PIOR CASO: tratar como sem proteção","Não preenchido")))</f>
        <v/>
      </c>
      <c r="N109" s="17">
        <f>IF(H109="?","VISTORIAR",IF(H109="","A PREENCHER",""))</f>
        <v/>
      </c>
      <c r="O109" s="17" t="n">
        <v>10</v>
      </c>
    </row>
    <row r="110">
      <c r="A110" s="17" t="inlineStr">
        <is>
          <t>D12</t>
        </is>
      </c>
      <c r="B110" s="17" t="inlineStr">
        <is>
          <t>D. Incêndio</t>
        </is>
      </c>
      <c r="C110" s="17" t="inlineStr">
        <is>
          <t>Bomba jockey e pressostatos</t>
        </is>
      </c>
      <c r="D110" s="17" t="inlineStr">
        <is>
          <t>Bomba pequena que mantém a pressão da rede; pressostatos de partida</t>
        </is>
      </c>
      <c r="E110" s="17" t="inlineStr">
        <is>
          <t>Partida frequente = vazamento na rede; pressostato desregulado liga a principal sem necessidade</t>
        </is>
      </c>
      <c r="F110" s="17" t="inlineStr">
        <is>
          <t>5,6</t>
        </is>
      </c>
      <c r="G110" s="17" t="inlineStr">
        <is>
          <t>✔ NBR 13714 (◻ cláusula)</t>
        </is>
      </c>
      <c r="H110" s="18" t="n"/>
      <c r="I110" s="13" t="n"/>
      <c r="J110" s="13" t="n"/>
      <c r="K110" s="14" t="n"/>
      <c r="L110" s="13" t="n"/>
      <c r="M110" s="17">
        <f>IF(H110="S","Existe",IF(H110="N","Não existe",IF(H110="?","PIOR CASO: tratar como sem proteção","Não preenchido")))</f>
        <v/>
      </c>
      <c r="N110" s="17">
        <f>IF(H110="?","VISTORIAR",IF(H110="","A PREENCHER",""))</f>
        <v/>
      </c>
      <c r="O110" s="17" t="n">
        <v>10</v>
      </c>
    </row>
    <row r="111">
      <c r="A111" s="17" t="inlineStr">
        <is>
          <t>D13</t>
        </is>
      </c>
      <c r="B111" s="17" t="inlineStr">
        <is>
          <t>D. Incêndio</t>
        </is>
      </c>
      <c r="C111" s="17" t="inlineStr">
        <is>
          <t>Ponto de teste da bomba de incêndio (linha de teste, medidor, retorno)</t>
        </is>
      </c>
      <c r="D111" s="17" t="inlineStr">
        <is>
          <t>Linha de retorno à reserva ou descarga com medidor de vazão para o teste da bomba</t>
        </is>
      </c>
      <c r="E111" s="17" t="inlineStr">
        <is>
          <t>Teste sem medidor (não prova vazão); retorno à reserva com água contaminada; descarga para o ralo; válvula de teste não volta ao fechado</t>
        </is>
      </c>
      <c r="F111" s="17" t="inlineStr">
        <is>
          <t>5,6</t>
        </is>
      </c>
      <c r="G111" s="17" t="inlineStr">
        <is>
          <t>✔ NBR 13714 (◻ cláusula)</t>
        </is>
      </c>
      <c r="H111" s="18" t="n"/>
      <c r="I111" s="13" t="n"/>
      <c r="J111" s="13" t="n"/>
      <c r="K111" s="14" t="n"/>
      <c r="L111" s="13" t="n"/>
      <c r="M111" s="17">
        <f>IF(H111="S","Existe",IF(H111="N","Não existe",IF(H111="?","PIOR CASO: tratar como sem proteção","Não preenchido")))</f>
        <v/>
      </c>
      <c r="N111" s="17">
        <f>IF(H111="?","VISTORIAR",IF(H111="","A PREENCHER",""))</f>
        <v/>
      </c>
      <c r="O111" s="17" t="n">
        <v>10</v>
      </c>
    </row>
    <row r="112">
      <c r="A112" s="17" t="inlineStr">
        <is>
          <t>D14</t>
        </is>
      </c>
      <c r="B112" s="17" t="inlineStr">
        <is>
          <t>D. Incêndio</t>
        </is>
      </c>
      <c r="C112" s="17" t="inlineStr">
        <is>
          <t>Motor diesel da bomba de incêndio</t>
        </is>
      </c>
      <c r="D112" s="17" t="inlineStr">
        <is>
          <t>Motor, tanque de combustível, baterias, arrefecimento (radiador ou trocador com água da própria rede)</t>
        </is>
      </c>
      <c r="E112" s="17" t="inlineStr">
        <is>
          <t>Combustível velho; bateria fraca; arrefecimento com reposição por mangueira; vazamento de diesel na bacia</t>
        </is>
      </c>
      <c r="F112" s="17" t="inlineStr">
        <is>
          <t>5,6</t>
        </is>
      </c>
      <c r="G112" s="17" t="inlineStr">
        <is>
          <t>✔ NBR 13714 (◻ cláusula)</t>
        </is>
      </c>
      <c r="H112" s="18" t="n"/>
      <c r="I112" s="13" t="n"/>
      <c r="J112" s="13" t="n"/>
      <c r="K112" s="14" t="n"/>
      <c r="L112" s="13" t="n"/>
      <c r="M112" s="17">
        <f>IF(H112="S","Existe",IF(H112="N","Não existe",IF(H112="?","PIOR CASO: tratar como sem proteção","Não preenchido")))</f>
        <v/>
      </c>
      <c r="N112" s="17">
        <f>IF(H112="?","VISTORIAR",IF(H112="","A PREENCHER",""))</f>
        <v/>
      </c>
      <c r="O112" s="17" t="n">
        <v>10</v>
      </c>
    </row>
    <row r="113">
      <c r="A113" s="17" t="inlineStr">
        <is>
          <t>D15</t>
        </is>
      </c>
      <c r="B113" s="17" t="inlineStr">
        <is>
          <t>D. Incêndio</t>
        </is>
      </c>
      <c r="C113" s="17" t="inlineStr">
        <is>
          <t>Alimentação da RTI ou da rede de incêndio pela rede potável</t>
        </is>
      </c>
      <c r="D113" s="17" t="inlineStr">
        <is>
          <t>Boia, registro de enchimento ou by-pass que repõe a reserva de incêndio com potável; enchimento por mangueira</t>
        </is>
      </c>
      <c r="E113" s="17" t="inlineStr">
        <is>
          <t>Interligação incêndio × potável: retrossifonagem puxa a água da rede de incêndio (estagnada, às vezes com aditivo) para o potável. Mangueira de enchimento esquecida</t>
        </is>
      </c>
      <c r="F113" s="17" t="inlineStr">
        <is>
          <t>1,6</t>
        </is>
      </c>
      <c r="G113" s="17" t="inlineStr">
        <is>
          <t>✔ NBR 5626:2020 (proteção contra refluxo; cláusula a ler)</t>
        </is>
      </c>
      <c r="H113" s="18" t="n"/>
      <c r="I113" s="13" t="n"/>
      <c r="J113" s="13" t="n"/>
      <c r="K113" s="14" t="n"/>
      <c r="L113" s="13" t="n"/>
      <c r="M113" s="17">
        <f>IF(H113="S","Existe",IF(H113="N","Não existe",IF(H113="?","PIOR CASO: tratar como sem proteção","Não preenchido")))</f>
        <v/>
      </c>
      <c r="N113" s="17">
        <f>IF(H113="?","VISTORIAR",IF(H113="","A PREENCHER",""))</f>
        <v/>
      </c>
      <c r="O113" s="17" t="n">
        <v>10</v>
      </c>
    </row>
    <row r="114">
      <c r="A114" s="17" t="inlineStr">
        <is>
          <t>D16</t>
        </is>
      </c>
      <c r="B114" s="17" t="inlineStr">
        <is>
          <t>D. Incêndio</t>
        </is>
      </c>
      <c r="C114" s="17" t="inlineStr">
        <is>
          <t>Válvula de governo e alarme e válvulas de controle da rede</t>
        </is>
      </c>
      <c r="D114" s="17" t="inlineStr">
        <is>
          <t>VGA, válvulas de seccionamento com supervisão (chave, sinalização)</t>
        </is>
      </c>
      <c r="E114" s="17" t="inlineStr">
        <is>
          <t>Válvula de controle fechada após manutenção: sprinkler fora de serviço sem ninguém saber; alarme sem monitoramento</t>
        </is>
      </c>
      <c r="F114" s="17" t="inlineStr">
        <is>
          <t>6,T</t>
        </is>
      </c>
      <c r="G114" s="17" t="inlineStr">
        <is>
          <t>✔ NBR 10897:2020 (◻ cláusula)</t>
        </is>
      </c>
      <c r="H114" s="18" t="n"/>
      <c r="I114" s="13" t="n"/>
      <c r="J114" s="13" t="n"/>
      <c r="K114" s="14" t="n"/>
      <c r="L114" s="13" t="n"/>
      <c r="M114" s="17">
        <f>IF(H114="S","Existe",IF(H114="N","Não existe",IF(H114="?","PIOR CASO: tratar como sem proteção","Não preenchido")))</f>
        <v/>
      </c>
      <c r="N114" s="17">
        <f>IF(H114="?","VISTORIAR",IF(H114="","A PREENCHER",""))</f>
        <v/>
      </c>
      <c r="O114" s="17" t="n">
        <v>10</v>
      </c>
    </row>
    <row r="115">
      <c r="A115" s="17" t="inlineStr">
        <is>
          <t>D17</t>
        </is>
      </c>
      <c r="B115" s="17" t="inlineStr">
        <is>
          <t>D. Incêndio</t>
        </is>
      </c>
      <c r="C115" s="17" t="inlineStr">
        <is>
          <t>Dilúvio, cortina d'água e canhões monitores</t>
        </is>
      </c>
      <c r="D115" s="17" t="inlineStr">
        <is>
          <t>Dilúvio em área de risco, cortina em fachada, canhão em pátio ou tanque</t>
        </is>
      </c>
      <c r="E115" s="17" t="inlineStr">
        <is>
          <t>Válvula de dilúvio sem teste; bicos entupidos; vazão que a RTI não sustenta; canhão exposto</t>
        </is>
      </c>
      <c r="F115" s="17" t="inlineStr">
        <is>
          <t>4,6</t>
        </is>
      </c>
      <c r="G115" s="17" t="inlineStr">
        <is>
          <t>◻ NBR 10897 / IT do estado (conferir)</t>
        </is>
      </c>
      <c r="H115" s="18" t="n"/>
      <c r="I115" s="13" t="n"/>
      <c r="J115" s="13" t="n"/>
      <c r="K115" s="14" t="n"/>
      <c r="L115" s="13" t="n"/>
      <c r="M115" s="17">
        <f>IF(H115="S","Existe",IF(H115="N","Não existe",IF(H115="?","PIOR CASO: tratar como sem proteção","Não preenchido")))</f>
        <v/>
      </c>
      <c r="N115" s="17">
        <f>IF(H115="?","VISTORIAR",IF(H115="","A PREENCHER",""))</f>
        <v/>
      </c>
      <c r="O115" s="17" t="n">
        <v>10</v>
      </c>
    </row>
    <row r="116">
      <c r="A116" s="17" t="inlineStr">
        <is>
          <t>D18</t>
        </is>
      </c>
      <c r="B116" s="17" t="inlineStr">
        <is>
          <t>D. Incêndio</t>
        </is>
      </c>
      <c r="C116" s="17" t="inlineStr">
        <is>
          <t>Compressor de ar ou nitrogênio de rede seca e pré-ação</t>
        </is>
      </c>
      <c r="D116" s="17" t="inlineStr">
        <is>
          <t>Compressor ou gerador de nitrogênio e secador de ar</t>
        </is>
      </c>
      <c r="E116" s="17" t="inlineStr">
        <is>
          <t>Ar úmido corrói a rede seca; compressor parado perde pressão e dispara a válvula; vazamento de ar</t>
        </is>
      </c>
      <c r="F116" s="17" t="inlineStr">
        <is>
          <t>5,6</t>
        </is>
      </c>
      <c r="G116" s="17" t="inlineStr">
        <is>
          <t>✔ NBR 10897:2020 (◻ cláusula)</t>
        </is>
      </c>
      <c r="H116" s="18" t="n"/>
      <c r="I116" s="13" t="n"/>
      <c r="J116" s="13" t="n"/>
      <c r="K116" s="14" t="n"/>
      <c r="L116" s="13" t="n"/>
      <c r="M116" s="17">
        <f>IF(H116="S","Existe",IF(H116="N","Não existe",IF(H116="?","PIOR CASO: tratar como sem proteção","Não preenchido")))</f>
        <v/>
      </c>
      <c r="N116" s="17">
        <f>IF(H116="?","VISTORIAR",IF(H116="","A PREENCHER",""))</f>
        <v/>
      </c>
      <c r="O116" s="17" t="n">
        <v>10</v>
      </c>
    </row>
    <row r="117">
      <c r="A117" s="17" t="inlineStr">
        <is>
          <t>D19</t>
        </is>
      </c>
      <c r="B117" s="17" t="inlineStr">
        <is>
          <t>D. Incêndio</t>
        </is>
      </c>
      <c r="C117" s="17" t="inlineStr">
        <is>
          <t>Névoa d'água de alta pressão (water mist)</t>
        </is>
      </c>
      <c r="D117" s="17" t="inlineStr">
        <is>
          <t>Bombas de alta pressão e bicos, água de baixa condutividade, em data center e salas elétricas</t>
        </is>
      </c>
      <c r="E117" s="17" t="inlineStr">
        <is>
          <t>Filtros e bicos entupidos; água tratada contaminada; equipamento exige pessoal especializado</t>
        </is>
      </c>
      <c r="F117" s="17" t="inlineStr">
        <is>
          <t>4,6</t>
        </is>
      </c>
      <c r="G117" s="17" t="inlineStr">
        <is>
          <t>◻ —</t>
        </is>
      </c>
      <c r="H117" s="18" t="n"/>
      <c r="I117" s="13" t="n"/>
      <c r="J117" s="13" t="n"/>
      <c r="K117" s="14" t="n"/>
      <c r="L117" s="13" t="n"/>
      <c r="M117" s="17">
        <f>IF(H117="S","Existe",IF(H117="N","Não existe",IF(H117="?","PIOR CASO: tratar como sem proteção","Não preenchido")))</f>
        <v/>
      </c>
      <c r="N117" s="17">
        <f>IF(H117="?","VISTORIAR",IF(H117="","A PREENCHER",""))</f>
        <v/>
      </c>
      <c r="O117" s="17" t="n">
        <v>10</v>
      </c>
    </row>
    <row r="118">
      <c r="A118" s="17" t="inlineStr">
        <is>
          <t>D20</t>
        </is>
      </c>
      <c r="B118" s="17" t="inlineStr">
        <is>
          <t>D. Incêndio</t>
        </is>
      </c>
      <c r="C118" s="17" t="inlineStr">
        <is>
          <t>Válvulas de transferência entre RTI e reservas de consumo</t>
        </is>
      </c>
      <c r="D118" s="17" t="inlineStr">
        <is>
          <t>Registro "de emergência" que permite usar a RTI para consumo, ou a água de consumo para a rede de incêndio</t>
        </is>
      </c>
      <c r="E118" s="17" t="inlineStr">
        <is>
          <t>A RTI vira consumo em falta de água e fica vazia (cenário 2 vira cenário 6); ou potável flui para incêndio sem separação. Registro sem lacre e sem registro de abertura</t>
        </is>
      </c>
      <c r="F118" s="17" t="inlineStr">
        <is>
          <t>1,2,6</t>
        </is>
      </c>
      <c r="G118" s="17" t="inlineStr">
        <is>
          <t>◻ IT do estado (conferir)</t>
        </is>
      </c>
      <c r="H118" s="18" t="n"/>
      <c r="I118" s="13" t="n"/>
      <c r="J118" s="13" t="n"/>
      <c r="K118" s="14" t="n"/>
      <c r="L118" s="13" t="n"/>
      <c r="M118" s="17">
        <f>IF(H118="S","Existe",IF(H118="N","Não existe",IF(H118="?","PIOR CASO: tratar como sem proteção","Não preenchido")))</f>
        <v/>
      </c>
      <c r="N118" s="17">
        <f>IF(H118="?","VISTORIAR",IF(H118="","A PREENCHER",""))</f>
        <v/>
      </c>
      <c r="O118" s="17" t="n">
        <v>10</v>
      </c>
    </row>
    <row r="119">
      <c r="A119" s="17" t="inlineStr">
        <is>
          <t>D21</t>
        </is>
      </c>
      <c r="B119" s="17" t="inlineStr">
        <is>
          <t>D. Incêndio</t>
        </is>
      </c>
      <c r="C119" s="17" t="inlineStr">
        <is>
          <t>Sprinklers em câmaras frias e redes com anticongelante</t>
        </is>
      </c>
      <c r="D119" s="17" t="inlineStr">
        <is>
          <t>Rede seca ou pré-ação em câmara fria; solução anticongelante (raro no Brasil)</t>
        </is>
      </c>
      <c r="E119" s="17" t="inlineStr">
        <is>
          <t>Solução de glicol ou glicerina em rede ligada ao potável: contaminação por retorno; teste da rede contamina o reservatório; vazamento no frio</t>
        </is>
      </c>
      <c r="F119" s="17" t="inlineStr">
        <is>
          <t>1,6</t>
        </is>
      </c>
      <c r="G119" s="17" t="inlineStr">
        <is>
          <t>✔ NBR 10897:2020 (◻ anticongelante: conferir)</t>
        </is>
      </c>
      <c r="H119" s="18" t="n"/>
      <c r="I119" s="13" t="n"/>
      <c r="J119" s="13" t="n"/>
      <c r="K119" s="14" t="n"/>
      <c r="L119" s="13" t="n"/>
      <c r="M119" s="17">
        <f>IF(H119="S","Existe",IF(H119="N","Não existe",IF(H119="?","PIOR CASO: tratar como sem proteção","Não preenchido")))</f>
        <v/>
      </c>
      <c r="N119" s="17">
        <f>IF(H119="?","VISTORIAR",IF(H119="","A PREENCHER",""))</f>
        <v/>
      </c>
      <c r="O119" s="17" t="n">
        <v>10</v>
      </c>
    </row>
    <row r="120">
      <c r="A120" s="17" t="inlineStr">
        <is>
          <t>E1</t>
        </is>
      </c>
      <c r="B120" s="17" t="inlineStr">
        <is>
          <t>E. Esgoto e drenagem</t>
        </is>
      </c>
      <c r="C120" s="17" t="inlineStr">
        <is>
          <t>Esgoto sanitário</t>
        </is>
      </c>
      <c r="D120" s="17" t="inlineStr">
        <is>
          <t>Ramais, colunas, ventilação, caixas de inspeção</t>
        </is>
      </c>
      <c r="E120" s="17" t="inlineStr">
        <is>
          <t>Entupimento; retorno por ralo; ventilação insuficiente; rede pública sobrecarregada</t>
        </is>
      </c>
      <c r="F120" s="17" t="inlineStr">
        <is>
          <t>7</t>
        </is>
      </c>
      <c r="G120" s="17" t="inlineStr">
        <is>
          <t>✔ NBR 8160 (ed. 1999 com confirmações; fontes citam também 2020: ◻ confirmar edição)</t>
        </is>
      </c>
      <c r="H120" s="18" t="n"/>
      <c r="I120" s="13" t="n"/>
      <c r="J120" s="13" t="n"/>
      <c r="K120" s="14" t="n"/>
      <c r="L120" s="13" t="n"/>
      <c r="M120" s="17">
        <f>IF(H120="S","Existe",IF(H120="N","Não existe",IF(H120="?","PIOR CASO: tratar como sem proteção","Não preenchido")))</f>
        <v/>
      </c>
      <c r="N120" s="17">
        <f>IF(H120="?","VISTORIAR",IF(H120="","A PREENCHER",""))</f>
        <v/>
      </c>
      <c r="O120" s="17" t="n">
        <v>11</v>
      </c>
    </row>
    <row r="121">
      <c r="A121" s="17" t="inlineStr">
        <is>
          <t>E2</t>
        </is>
      </c>
      <c r="B121" s="17" t="inlineStr">
        <is>
          <t>E. Esgoto e drenagem</t>
        </is>
      </c>
      <c r="C121" s="17" t="inlineStr">
        <is>
          <t>Caixa de gordura</t>
        </is>
      </c>
      <c r="D121" s="17" t="inlineStr">
        <is>
          <t>Cozinhas, restaurantes, refeitórios</t>
        </is>
      </c>
      <c r="E121" s="17" t="inlineStr">
        <is>
          <t>Entupimento; transbordo; odor; cozinha do locatário sem manutenção</t>
        </is>
      </c>
      <c r="F121" s="17" t="inlineStr">
        <is>
          <t>4,7</t>
        </is>
      </c>
      <c r="G121" s="17" t="inlineStr">
        <is>
          <t>✔ NBR 8160 · ◻ regra municipal</t>
        </is>
      </c>
      <c r="H121" s="18" t="n"/>
      <c r="I121" s="13" t="n"/>
      <c r="J121" s="13" t="n"/>
      <c r="K121" s="14" t="n"/>
      <c r="L121" s="13" t="n"/>
      <c r="M121" s="17">
        <f>IF(H121="S","Existe",IF(H121="N","Não existe",IF(H121="?","PIOR CASO: tratar como sem proteção","Não preenchido")))</f>
        <v/>
      </c>
      <c r="N121" s="17">
        <f>IF(H121="?","VISTORIAR",IF(H121="","A PREENCHER",""))</f>
        <v/>
      </c>
      <c r="O121" s="17" t="n">
        <v>11</v>
      </c>
    </row>
    <row r="122">
      <c r="A122" s="17" t="inlineStr">
        <is>
          <t>E3</t>
        </is>
      </c>
      <c r="B122" s="17" t="inlineStr">
        <is>
          <t>E. Esgoto e drenagem</t>
        </is>
      </c>
      <c r="C122" s="17" t="inlineStr">
        <is>
          <t>Poço de recalque de esgoto</t>
        </is>
      </c>
      <c r="D122" s="17" t="inlineStr">
        <is>
          <t>Bomba que sobe o esgoto de subsolo</t>
        </is>
      </c>
      <c r="E122" s="17" t="inlineStr">
        <is>
          <t>Bomba para e inunda o subsolo; sem bomba reserva e alarme; falta de energia</t>
        </is>
      </c>
      <c r="F122" s="17" t="inlineStr">
        <is>
          <t>4,5,7</t>
        </is>
      </c>
      <c r="G122" s="17" t="inlineStr">
        <is>
          <t>◻ NBR 8160 (conferir)</t>
        </is>
      </c>
      <c r="H122" s="18" t="n"/>
      <c r="I122" s="13" t="n"/>
      <c r="J122" s="13" t="n"/>
      <c r="K122" s="14" t="n"/>
      <c r="L122" s="13" t="n"/>
      <c r="M122" s="17">
        <f>IF(H122="S","Existe",IF(H122="N","Não existe",IF(H122="?","PIOR CASO: tratar como sem proteção","Não preenchido")))</f>
        <v/>
      </c>
      <c r="N122" s="17">
        <f>IF(H122="?","VISTORIAR",IF(H122="","A PREENCHER",""))</f>
        <v/>
      </c>
      <c r="O122" s="17" t="n">
        <v>11</v>
      </c>
    </row>
    <row r="123">
      <c r="A123" s="17" t="inlineStr">
        <is>
          <t>E4</t>
        </is>
      </c>
      <c r="B123" s="17" t="inlineStr">
        <is>
          <t>E. Esgoto e drenagem</t>
        </is>
      </c>
      <c r="C123" s="17" t="inlineStr">
        <is>
          <t>Caixa separadora água-óleo</t>
        </is>
      </c>
      <c r="D123" s="17" t="inlineStr">
        <is>
          <t>Garagens, oficinas, lavagem, abastecimento</t>
        </is>
      </c>
      <c r="E123" s="17" t="inlineStr">
        <is>
          <t>Saturada; óleo vai para a rede pública; sem coleta</t>
        </is>
      </c>
      <c r="F123" s="17" t="inlineStr">
        <is>
          <t>4</t>
        </is>
      </c>
      <c r="G123" s="17" t="inlineStr">
        <is>
          <t>◻ —</t>
        </is>
      </c>
      <c r="H123" s="18" t="n"/>
      <c r="I123" s="13" t="n"/>
      <c r="J123" s="13" t="n"/>
      <c r="K123" s="14" t="n"/>
      <c r="L123" s="13" t="n"/>
      <c r="M123" s="17">
        <f>IF(H123="S","Existe",IF(H123="N","Não existe",IF(H123="?","PIOR CASO: tratar como sem proteção","Não preenchido")))</f>
        <v/>
      </c>
      <c r="N123" s="17">
        <f>IF(H123="?","VISTORIAR",IF(H123="","A PREENCHER",""))</f>
        <v/>
      </c>
      <c r="O123" s="17" t="n">
        <v>11</v>
      </c>
    </row>
    <row r="124">
      <c r="A124" s="17" t="inlineStr">
        <is>
          <t>E5</t>
        </is>
      </c>
      <c r="B124" s="17" t="inlineStr">
        <is>
          <t>E. Esgoto e drenagem</t>
        </is>
      </c>
      <c r="C124" s="17" t="inlineStr">
        <is>
          <t>Águas pluviais</t>
        </is>
      </c>
      <c r="D124" s="17" t="inlineStr">
        <is>
          <t>Calhas, condutores, ralos de cobertura</t>
        </is>
      </c>
      <c r="E124" s="17" t="inlineStr">
        <is>
          <t>Entupimento; transbordo para dentro do prédio ou sobre a caixa d'água; ladrão misturado ao esgoto</t>
        </is>
      </c>
      <c r="F124" s="17" t="inlineStr">
        <is>
          <t>4,9</t>
        </is>
      </c>
      <c r="G124" s="17" t="inlineStr">
        <is>
          <t>✔ NBR 10844 (ed. 1989; ◻ confirmar edição)</t>
        </is>
      </c>
      <c r="H124" s="18" t="n"/>
      <c r="I124" s="13" t="n"/>
      <c r="J124" s="13" t="n"/>
      <c r="K124" s="14" t="n"/>
      <c r="L124" s="13" t="n"/>
      <c r="M124" s="17">
        <f>IF(H124="S","Existe",IF(H124="N","Não existe",IF(H124="?","PIOR CASO: tratar como sem proteção","Não preenchido")))</f>
        <v/>
      </c>
      <c r="N124" s="17">
        <f>IF(H124="?","VISTORIAR",IF(H124="","A PREENCHER",""))</f>
        <v/>
      </c>
      <c r="O124" s="17" t="n">
        <v>11</v>
      </c>
    </row>
    <row r="125">
      <c r="A125" s="17" t="inlineStr">
        <is>
          <t>E6</t>
        </is>
      </c>
      <c r="B125" s="17" t="inlineStr">
        <is>
          <t>E. Esgoto e drenagem</t>
        </is>
      </c>
      <c r="C125" s="17" t="inlineStr">
        <is>
          <t>Drenagem de subsolo</t>
        </is>
      </c>
      <c r="D125" s="17" t="inlineStr">
        <is>
          <t>Poços de drenagem, bombas, canaletas</t>
        </is>
      </c>
      <c r="E125" s="17" t="inlineStr">
        <is>
          <t>Bomba para, nível sobe, inundação de subsolo e casa de máquinas</t>
        </is>
      </c>
      <c r="F125" s="17" t="inlineStr">
        <is>
          <t>4,5</t>
        </is>
      </c>
      <c r="G125" s="17" t="inlineStr">
        <is>
          <t>◻ —</t>
        </is>
      </c>
      <c r="H125" s="18" t="n"/>
      <c r="I125" s="13" t="n"/>
      <c r="J125" s="13" t="n"/>
      <c r="K125" s="14" t="n"/>
      <c r="L125" s="13" t="n"/>
      <c r="M125" s="17">
        <f>IF(H125="S","Existe",IF(H125="N","Não existe",IF(H125="?","PIOR CASO: tratar como sem proteção","Não preenchido")))</f>
        <v/>
      </c>
      <c r="N125" s="17">
        <f>IF(H125="?","VISTORIAR",IF(H125="","A PREENCHER",""))</f>
        <v/>
      </c>
      <c r="O125" s="17" t="n">
        <v>11</v>
      </c>
    </row>
    <row r="126">
      <c r="A126" s="17" t="inlineStr">
        <is>
          <t>E7</t>
        </is>
      </c>
      <c r="B126" s="17" t="inlineStr">
        <is>
          <t>E. Esgoto e drenagem</t>
        </is>
      </c>
      <c r="C126" s="17" t="inlineStr">
        <is>
          <t>Retenção/detenção de águas pluviais</t>
        </is>
      </c>
      <c r="D126" s="17" t="inlineStr">
        <is>
          <t>Reservatório de contenção exigido por lei municipal em muitos lotes</t>
        </is>
      </c>
      <c r="E126" s="17" t="inlineStr">
        <is>
          <t>Cheio; bomba de esvaziamento parada (ver E14); sem manutenção</t>
        </is>
      </c>
      <c r="F126" s="17" t="inlineStr">
        <is>
          <t>4,7</t>
        </is>
      </c>
      <c r="G126" s="17" t="inlineStr">
        <is>
          <t>◻ legislação municipal</t>
        </is>
      </c>
      <c r="H126" s="18" t="n"/>
      <c r="I126" s="13" t="n"/>
      <c r="J126" s="13" t="n"/>
      <c r="K126" s="14" t="n"/>
      <c r="L126" s="13" t="n"/>
      <c r="M126" s="17">
        <f>IF(H126="S","Existe",IF(H126="N","Não existe",IF(H126="?","PIOR CASO: tratar como sem proteção","Não preenchido")))</f>
        <v/>
      </c>
      <c r="N126" s="17">
        <f>IF(H126="?","VISTORIAR",IF(H126="","A PREENCHER",""))</f>
        <v/>
      </c>
      <c r="O126" s="17" t="n">
        <v>11</v>
      </c>
    </row>
    <row r="127">
      <c r="A127" s="17" t="inlineStr">
        <is>
          <t>E8</t>
        </is>
      </c>
      <c r="B127" s="17" t="inlineStr">
        <is>
          <t>E. Esgoto e drenagem</t>
        </is>
      </c>
      <c r="C127" s="17" t="inlineStr">
        <is>
          <t>Drenagem de pátio e docas</t>
        </is>
      </c>
      <c r="D127" s="17" t="inlineStr">
        <is>
          <t>Canaletas, caixas de areia, ralos</t>
        </is>
      </c>
      <c r="E127" s="17" t="inlineStr">
        <is>
          <t>Entupimento; empoçamento; óleo e resíduos</t>
        </is>
      </c>
      <c r="F127" s="17" t="inlineStr">
        <is>
          <t>4</t>
        </is>
      </c>
      <c r="G127" s="17" t="inlineStr">
        <is>
          <t>◻ —</t>
        </is>
      </c>
      <c r="H127" s="18" t="n"/>
      <c r="I127" s="13" t="n"/>
      <c r="J127" s="13" t="n"/>
      <c r="K127" s="14" t="n"/>
      <c r="L127" s="13" t="n"/>
      <c r="M127" s="17">
        <f>IF(H127="S","Existe",IF(H127="N","Não existe",IF(H127="?","PIOR CASO: tratar como sem proteção","Não preenchido")))</f>
        <v/>
      </c>
      <c r="N127" s="17">
        <f>IF(H127="?","VISTORIAR",IF(H127="","A PREENCHER",""))</f>
        <v/>
      </c>
      <c r="O127" s="17" t="n">
        <v>11</v>
      </c>
    </row>
    <row r="128">
      <c r="A128" s="17" t="inlineStr">
        <is>
          <t>E9</t>
        </is>
      </c>
      <c r="B128" s="17" t="inlineStr">
        <is>
          <t>E. Esgoto e drenagem</t>
        </is>
      </c>
      <c r="C128" s="17" t="inlineStr">
        <is>
          <t>Ralos e sifões</t>
        </is>
      </c>
      <c r="D128" s="17" t="inlineStr">
        <is>
          <t>Selo hídrico em ralos e sifonados</t>
        </is>
      </c>
      <c r="E128" s="17" t="inlineStr">
        <is>
          <t>Selo seca em ralo sem uso e devolve gás do esgoto</t>
        </is>
      </c>
      <c r="F128" s="17" t="inlineStr">
        <is>
          <t>7</t>
        </is>
      </c>
      <c r="G128" s="17" t="inlineStr">
        <is>
          <t>✔ NBR 8160</t>
        </is>
      </c>
      <c r="H128" s="18" t="n"/>
      <c r="I128" s="13" t="n"/>
      <c r="J128" s="13" t="n"/>
      <c r="K128" s="14" t="n"/>
      <c r="L128" s="13" t="n"/>
      <c r="M128" s="17">
        <f>IF(H128="S","Existe",IF(H128="N","Não existe",IF(H128="?","PIOR CASO: tratar como sem proteção","Não preenchido")))</f>
        <v/>
      </c>
      <c r="N128" s="17">
        <f>IF(H128="?","VISTORIAR",IF(H128="","A PREENCHER",""))</f>
        <v/>
      </c>
      <c r="O128" s="17" t="n">
        <v>11</v>
      </c>
    </row>
    <row r="129">
      <c r="A129" s="17" t="inlineStr">
        <is>
          <t>E10</t>
        </is>
      </c>
      <c r="B129" s="17" t="inlineStr">
        <is>
          <t>E. Esgoto e drenagem</t>
        </is>
      </c>
      <c r="C129" s="17" t="inlineStr">
        <is>
          <t>Drenos e extravasores</t>
        </is>
      </c>
      <c r="D129" s="17" t="inlineStr">
        <is>
          <t>Drenos de ar-condicionado, poço do elevador (E19), extravasor de equipamentos</t>
        </is>
      </c>
      <c r="E129" s="17" t="inlineStr">
        <is>
          <t>Dreno ligado direto à coluna de esgoto sem desconexão; drenos entupidos. Para ladrão de reservatório, ver A23</t>
        </is>
      </c>
      <c r="F129" s="17" t="inlineStr">
        <is>
          <t>4,7</t>
        </is>
      </c>
      <c r="G129" s="17" t="inlineStr">
        <is>
          <t>✔ NBR 8160 (◻ cláusula)</t>
        </is>
      </c>
      <c r="H129" s="18" t="n"/>
      <c r="I129" s="13" t="n"/>
      <c r="J129" s="13" t="n"/>
      <c r="K129" s="14" t="n"/>
      <c r="L129" s="13" t="n"/>
      <c r="M129" s="17">
        <f>IF(H129="S","Existe",IF(H129="N","Não existe",IF(H129="?","PIOR CASO: tratar como sem proteção","Não preenchido")))</f>
        <v/>
      </c>
      <c r="N129" s="17">
        <f>IF(H129="?","VISTORIAR",IF(H129="","A PREENCHER",""))</f>
        <v/>
      </c>
      <c r="O129" s="17" t="n">
        <v>11</v>
      </c>
    </row>
    <row r="130">
      <c r="A130" s="17" t="inlineStr">
        <is>
          <t>E11</t>
        </is>
      </c>
      <c r="B130" s="17" t="inlineStr">
        <is>
          <t>E. Esgoto e drenagem</t>
        </is>
      </c>
      <c r="C130" s="17" t="inlineStr">
        <is>
          <t>Caixas de gordura em série e separadores de gordura</t>
        </is>
      </c>
      <c r="D130" s="17" t="inlineStr">
        <is>
          <t>Várias caixas em série, separador automático em praça de alimentação</t>
        </is>
      </c>
      <c r="E130" s="17" t="inlineStr">
        <is>
          <t>Primeira caixa saturada; separador sem retirada diária; odor e tampa aberta</t>
        </is>
      </c>
      <c r="F130" s="17" t="inlineStr">
        <is>
          <t>4,7</t>
        </is>
      </c>
      <c r="G130" s="17" t="inlineStr">
        <is>
          <t>✔ NBR 8160 (◻ cláusula) · ◻ regra municipal</t>
        </is>
      </c>
      <c r="H130" s="18" t="n"/>
      <c r="I130" s="13" t="n"/>
      <c r="J130" s="13" t="n"/>
      <c r="K130" s="14" t="n"/>
      <c r="L130" s="13" t="n"/>
      <c r="M130" s="17">
        <f>IF(H130="S","Existe",IF(H130="N","Não existe",IF(H130="?","PIOR CASO: tratar como sem proteção","Não preenchido")))</f>
        <v/>
      </c>
      <c r="N130" s="17">
        <f>IF(H130="?","VISTORIAR",IF(H130="","A PREENCHER",""))</f>
        <v/>
      </c>
      <c r="O130" s="17" t="n">
        <v>11</v>
      </c>
    </row>
    <row r="131">
      <c r="A131" s="17" t="inlineStr">
        <is>
          <t>E12</t>
        </is>
      </c>
      <c r="B131" s="17" t="inlineStr">
        <is>
          <t>E. Esgoto e drenagem</t>
        </is>
      </c>
      <c r="C131" s="17" t="inlineStr">
        <is>
          <t>Poços de visita e caixas de inspeção externas</t>
        </is>
      </c>
      <c r="D131" s="17" t="inlineStr">
        <is>
          <t>PVs e caixas da rede externa, ligações à rede pública</t>
        </is>
      </c>
      <c r="E131" s="17" t="inlineStr">
        <is>
          <t>Tampa retirada; infiltração; gases; entrada de pluvial no esgoto e vice-versa</t>
        </is>
      </c>
      <c r="F131" s="17" t="inlineStr">
        <is>
          <t>4,7</t>
        </is>
      </c>
      <c r="G131" s="17" t="inlineStr">
        <is>
          <t>◻ —</t>
        </is>
      </c>
      <c r="H131" s="18" t="n"/>
      <c r="I131" s="13" t="n"/>
      <c r="J131" s="13" t="n"/>
      <c r="K131" s="14" t="n"/>
      <c r="L131" s="13" t="n"/>
      <c r="M131" s="17">
        <f>IF(H131="S","Existe",IF(H131="N","Não existe",IF(H131="?","PIOR CASO: tratar como sem proteção","Não preenchido")))</f>
        <v/>
      </c>
      <c r="N131" s="17">
        <f>IF(H131="?","VISTORIAR",IF(H131="","A PREENCHER",""))</f>
        <v/>
      </c>
      <c r="O131" s="17" t="n">
        <v>11</v>
      </c>
    </row>
    <row r="132">
      <c r="A132" s="17" t="inlineStr">
        <is>
          <t>E13</t>
        </is>
      </c>
      <c r="B132" s="17" t="inlineStr">
        <is>
          <t>E. Esgoto e drenagem</t>
        </is>
      </c>
      <c r="C132" s="17" t="inlineStr">
        <is>
          <t>Caixa de areia, desarenador e retenção de sólidos</t>
        </is>
      </c>
      <c r="D132" s="17" t="inlineStr">
        <is>
          <t>Retenção de areia e lodo em pátio e lavagem</t>
        </is>
      </c>
      <c r="E132" s="17" t="inlineStr">
        <is>
          <t>Cheia; arrasta sedimento à rede; sem limpeza</t>
        </is>
      </c>
      <c r="F132" s="17" t="inlineStr">
        <is>
          <t>4</t>
        </is>
      </c>
      <c r="G132" s="17" t="inlineStr">
        <is>
          <t>◻ —</t>
        </is>
      </c>
      <c r="H132" s="18" t="n"/>
      <c r="I132" s="13" t="n"/>
      <c r="J132" s="13" t="n"/>
      <c r="K132" s="14" t="n"/>
      <c r="L132" s="13" t="n"/>
      <c r="M132" s="17">
        <f>IF(H132="S","Existe",IF(H132="N","Não existe",IF(H132="?","PIOR CASO: tratar como sem proteção","Não preenchido")))</f>
        <v/>
      </c>
      <c r="N132" s="17">
        <f>IF(H132="?","VISTORIAR",IF(H132="","A PREENCHER",""))</f>
        <v/>
      </c>
      <c r="O132" s="17" t="n">
        <v>11</v>
      </c>
    </row>
    <row r="133">
      <c r="A133" s="17" t="inlineStr">
        <is>
          <t>E14</t>
        </is>
      </c>
      <c r="B133" s="17" t="inlineStr">
        <is>
          <t>E. Esgoto e drenagem</t>
        </is>
      </c>
      <c r="C133" s="17" t="inlineStr">
        <is>
          <t>Bomba de esvaziamento do reservatório de detenção e válvula de retenção do lançamento</t>
        </is>
      </c>
      <c r="D133" s="17" t="inlineStr">
        <is>
          <t>Bomba e saída do reservatório de retardo de pluviais</t>
        </is>
      </c>
      <c r="E133" s="17" t="inlineStr">
        <is>
          <t>Bomba parada: reservatório cheio na próxima chuva; sem retenção no lançamento, a rede pública em carga devolve água ao reservatório</t>
        </is>
      </c>
      <c r="F133" s="17" t="inlineStr">
        <is>
          <t>4,5,7</t>
        </is>
      </c>
      <c r="G133" s="17" t="inlineStr">
        <is>
          <t>◻ legislação municipal</t>
        </is>
      </c>
      <c r="H133" s="18" t="n"/>
      <c r="I133" s="13" t="n"/>
      <c r="J133" s="13" t="n"/>
      <c r="K133" s="14" t="n"/>
      <c r="L133" s="13" t="n"/>
      <c r="M133" s="17">
        <f>IF(H133="S","Existe",IF(H133="N","Não existe",IF(H133="?","PIOR CASO: tratar como sem proteção","Não preenchido")))</f>
        <v/>
      </c>
      <c r="N133" s="17">
        <f>IF(H133="?","VISTORIAR",IF(H133="","A PREENCHER",""))</f>
        <v/>
      </c>
      <c r="O133" s="17" t="n">
        <v>11</v>
      </c>
    </row>
    <row r="134">
      <c r="A134" s="17" t="inlineStr">
        <is>
          <t>E15</t>
        </is>
      </c>
      <c r="B134" s="17" t="inlineStr">
        <is>
          <t>E. Esgoto e drenagem</t>
        </is>
      </c>
      <c r="C134" s="17" t="inlineStr">
        <is>
          <t>Válvulas de retenção (anti-refluxo) nos ramais para a rede pública</t>
        </is>
      </c>
      <c r="D134" s="17" t="inlineStr">
        <is>
          <t>Válvula de retenção ou comporta (flap) em esgoto e pluvial na saída do lote</t>
        </is>
      </c>
      <c r="E134" s="17" t="inlineStr">
        <is>
          <t>Ausente; travada aberta por sujeira; subsolo com ralos abaixo da rua recebe refluxo</t>
        </is>
      </c>
      <c r="F134" s="17" t="inlineStr">
        <is>
          <t>7</t>
        </is>
      </c>
      <c r="G134" s="17" t="inlineStr">
        <is>
          <t>✔ NBR 8160 (◻ cláusula)</t>
        </is>
      </c>
      <c r="H134" s="18" t="n"/>
      <c r="I134" s="13" t="n"/>
      <c r="J134" s="13" t="n"/>
      <c r="K134" s="14" t="n"/>
      <c r="L134" s="13" t="n"/>
      <c r="M134" s="17">
        <f>IF(H134="S","Existe",IF(H134="N","Não existe",IF(H134="?","PIOR CASO: tratar como sem proteção","Não preenchido")))</f>
        <v/>
      </c>
      <c r="N134" s="17">
        <f>IF(H134="?","VISTORIAR",IF(H134="","A PREENCHER",""))</f>
        <v/>
      </c>
      <c r="O134" s="17" t="n">
        <v>11</v>
      </c>
    </row>
    <row r="135">
      <c r="A135" s="17" t="inlineStr">
        <is>
          <t>E16</t>
        </is>
      </c>
      <c r="B135" s="17" t="inlineStr">
        <is>
          <t>E. Esgoto e drenagem</t>
        </is>
      </c>
      <c r="C135" s="17" t="inlineStr">
        <is>
          <t>Bacias de contenção de tanques de combustível e drenagem da bacia</t>
        </is>
      </c>
      <c r="D135" s="17" t="inlineStr">
        <is>
          <t>Bacia de contenção do tanque de diesel do gerador, da bomba de incêndio ou de abastecimento interno</t>
        </is>
      </c>
      <c r="E135" s="17" t="inlineStr">
        <is>
          <t>Dreno da bacia aberto leva diesel ao pluvial; bacia cheia de água de chuva; tanque sem bacia</t>
        </is>
      </c>
      <c r="F135" s="17" t="inlineStr">
        <is>
          <t>4</t>
        </is>
      </c>
      <c r="G135" s="17" t="inlineStr">
        <is>
          <t>✔ NBR 17505 (armazenamento de inflamáveis e combustíveis; ◻ parte aplicável)</t>
        </is>
      </c>
      <c r="H135" s="18" t="n"/>
      <c r="I135" s="13" t="n"/>
      <c r="J135" s="13" t="n"/>
      <c r="K135" s="14" t="n"/>
      <c r="L135" s="13" t="n"/>
      <c r="M135" s="17">
        <f>IF(H135="S","Existe",IF(H135="N","Não existe",IF(H135="?","PIOR CASO: tratar como sem proteção","Não preenchido")))</f>
        <v/>
      </c>
      <c r="N135" s="17">
        <f>IF(H135="?","VISTORIAR",IF(H135="","A PREENCHER",""))</f>
        <v/>
      </c>
      <c r="O135" s="17" t="n">
        <v>11</v>
      </c>
    </row>
    <row r="136">
      <c r="A136" s="17" t="inlineStr">
        <is>
          <t>E17</t>
        </is>
      </c>
      <c r="B136" s="17" t="inlineStr">
        <is>
          <t>E. Esgoto e drenagem</t>
        </is>
      </c>
      <c r="C136" s="17" t="inlineStr">
        <is>
          <t>Heliponto: drenagem e coleta</t>
        </is>
      </c>
      <c r="D136" s="17" t="inlineStr">
        <is>
          <t>Laje de cobertura com canaletas, caixa de coleta, hidrante de heliponto</t>
        </is>
      </c>
      <c r="E136" s="17" t="inlineStr">
        <is>
          <t>Combustível em derrame segue pelo pluvial; hidrante e espuma sem teste</t>
        </is>
      </c>
      <c r="F136" s="17" t="inlineStr">
        <is>
          <t>4,6</t>
        </is>
      </c>
      <c r="G136" s="17" t="inlineStr">
        <is>
          <t>◻ regulamento ANAC de heliportos/helipontos (conferir número)</t>
        </is>
      </c>
      <c r="H136" s="18" t="n"/>
      <c r="I136" s="13" t="n"/>
      <c r="J136" s="13" t="n"/>
      <c r="K136" s="14" t="n"/>
      <c r="L136" s="13" t="n"/>
      <c r="M136" s="17">
        <f>IF(H136="S","Existe",IF(H136="N","Não existe",IF(H136="?","PIOR CASO: tratar como sem proteção","Não preenchido")))</f>
        <v/>
      </c>
      <c r="N136" s="17">
        <f>IF(H136="?","VISTORIAR",IF(H136="","A PREENCHER",""))</f>
        <v/>
      </c>
      <c r="O136" s="17" t="n">
        <v>11</v>
      </c>
    </row>
    <row r="137">
      <c r="A137" s="17" t="inlineStr">
        <is>
          <t>E18</t>
        </is>
      </c>
      <c r="B137" s="17" t="inlineStr">
        <is>
          <t>E. Esgoto e drenagem</t>
        </is>
      </c>
      <c r="C137" s="17" t="inlineStr">
        <is>
          <t>Drenagem de lajes técnicas, jardineiras e coberturas</t>
        </is>
      </c>
      <c r="D137" s="17" t="inlineStr">
        <is>
          <t>Ralos de laje de máquinas, jardineiras, telhado verde (G13)</t>
        </is>
      </c>
      <c r="E137" s="17" t="inlineStr">
        <is>
          <t>Ralo entupido por terra e folha; alaga laje técnica e teto; vazamento no forro</t>
        </is>
      </c>
      <c r="F137" s="17" t="inlineStr">
        <is>
          <t>4</t>
        </is>
      </c>
      <c r="G137" s="17" t="inlineStr">
        <is>
          <t>✔ NBR 10844 (◻ cláusula)</t>
        </is>
      </c>
      <c r="H137" s="18" t="n"/>
      <c r="I137" s="13" t="n"/>
      <c r="J137" s="13" t="n"/>
      <c r="K137" s="14" t="n"/>
      <c r="L137" s="13" t="n"/>
      <c r="M137" s="17">
        <f>IF(H137="S","Existe",IF(H137="N","Não existe",IF(H137="?","PIOR CASO: tratar como sem proteção","Não preenchido")))</f>
        <v/>
      </c>
      <c r="N137" s="17">
        <f>IF(H137="?","VISTORIAR",IF(H137="","A PREENCHER",""))</f>
        <v/>
      </c>
      <c r="O137" s="17" t="n">
        <v>11</v>
      </c>
    </row>
    <row r="138">
      <c r="A138" s="17" t="inlineStr">
        <is>
          <t>E19</t>
        </is>
      </c>
      <c r="B138" s="17" t="inlineStr">
        <is>
          <t>E. Esgoto e drenagem</t>
        </is>
      </c>
      <c r="C138" s="17" t="inlineStr">
        <is>
          <t>Fosso de elevador</t>
        </is>
      </c>
      <c r="D138" s="17" t="inlineStr">
        <is>
          <t>Poço do elevador com dreno ou bomba</t>
        </is>
      </c>
      <c r="E138" s="17" t="inlineStr">
        <is>
          <t>Água no fosso para o elevador; bomba sem alarme; óleo hidráulico misturado</t>
        </is>
      </c>
      <c r="F138" s="17" t="inlineStr">
        <is>
          <t>4,5</t>
        </is>
      </c>
      <c r="G138" s="17" t="inlineStr">
        <is>
          <t>◻ —</t>
        </is>
      </c>
      <c r="H138" s="18" t="n"/>
      <c r="I138" s="13" t="n"/>
      <c r="J138" s="13" t="n"/>
      <c r="K138" s="14" t="n"/>
      <c r="L138" s="13" t="n"/>
      <c r="M138" s="17">
        <f>IF(H138="S","Existe",IF(H138="N","Não existe",IF(H138="?","PIOR CASO: tratar como sem proteção","Não preenchido")))</f>
        <v/>
      </c>
      <c r="N138" s="17">
        <f>IF(H138="?","VISTORIAR",IF(H138="","A PREENCHER",""))</f>
        <v/>
      </c>
      <c r="O138" s="17" t="n">
        <v>11</v>
      </c>
    </row>
    <row r="139">
      <c r="A139" s="17" t="inlineStr">
        <is>
          <t>E20</t>
        </is>
      </c>
      <c r="B139" s="17" t="inlineStr">
        <is>
          <t>E. Esgoto e drenagem</t>
        </is>
      </c>
      <c r="C139" s="17" t="inlineStr">
        <is>
          <t>Ralos e poços da casa de máquinas, sala do chiller e bacias de torre</t>
        </is>
      </c>
      <c r="D139" s="17" t="inlineStr">
        <is>
          <t>Pontos de descarga de purgas, vazamentos e lavagem de equipamentos</t>
        </is>
      </c>
      <c r="E139" s="17" t="inlineStr">
        <is>
          <t>Água com químicos vai ao pluvial; dreno entupido alaga a sala; descarga sem folga de ar</t>
        </is>
      </c>
      <c r="F139" s="17" t="inlineStr">
        <is>
          <t>4,7,8</t>
        </is>
      </c>
      <c r="G139" s="17" t="inlineStr">
        <is>
          <t>✔ NBR 8160 (◻ cláusula)</t>
        </is>
      </c>
      <c r="H139" s="18" t="n"/>
      <c r="I139" s="13" t="n"/>
      <c r="J139" s="13" t="n"/>
      <c r="K139" s="14" t="n"/>
      <c r="L139" s="13" t="n"/>
      <c r="M139" s="17">
        <f>IF(H139="S","Existe",IF(H139="N","Não existe",IF(H139="?","PIOR CASO: tratar como sem proteção","Não preenchido")))</f>
        <v/>
      </c>
      <c r="N139" s="17">
        <f>IF(H139="?","VISTORIAR",IF(H139="","A PREENCHER",""))</f>
        <v/>
      </c>
      <c r="O139" s="17" t="n">
        <v>11</v>
      </c>
    </row>
    <row r="140">
      <c r="A140" s="17" t="inlineStr">
        <is>
          <t>E21</t>
        </is>
      </c>
      <c r="B140" s="17" t="inlineStr">
        <is>
          <t>E. Esgoto e drenagem</t>
        </is>
      </c>
      <c r="C140" s="17" t="inlineStr">
        <is>
          <t>Poço ou bomba de rampa de garagem e docas rebaixadas</t>
        </is>
      </c>
      <c r="D140" s="17" t="inlineStr">
        <is>
          <t>Poço de recalque pluvial de rampa e de doca abaixo do nível da rua</t>
        </is>
      </c>
      <c r="E140" s="17" t="inlineStr">
        <is>
          <t>Bomba única que falha: rampa e doca alagam; sem alarme; aterro de sedimento</t>
        </is>
      </c>
      <c r="F140" s="17" t="inlineStr">
        <is>
          <t>4,5</t>
        </is>
      </c>
      <c r="G140" s="17" t="inlineStr">
        <is>
          <t>◻ —</t>
        </is>
      </c>
      <c r="H140" s="18" t="n"/>
      <c r="I140" s="13" t="n"/>
      <c r="J140" s="13" t="n"/>
      <c r="K140" s="14" t="n"/>
      <c r="L140" s="13" t="n"/>
      <c r="M140" s="17">
        <f>IF(H140="S","Existe",IF(H140="N","Não existe",IF(H140="?","PIOR CASO: tratar como sem proteção","Não preenchido")))</f>
        <v/>
      </c>
      <c r="N140" s="17">
        <f>IF(H140="?","VISTORIAR",IF(H140="","A PREENCHER",""))</f>
        <v/>
      </c>
      <c r="O140" s="17" t="n">
        <v>11</v>
      </c>
    </row>
    <row r="141">
      <c r="A141" s="17" t="inlineStr">
        <is>
          <t>E22</t>
        </is>
      </c>
      <c r="B141" s="17" t="inlineStr">
        <is>
          <t>E. Esgoto e drenagem</t>
        </is>
      </c>
      <c r="C141" s="17" t="inlineStr">
        <is>
          <t>Purgas quentes e condensado (caixa de resfriamento, neutralização)</t>
        </is>
      </c>
      <c r="D141" s="17" t="inlineStr">
        <is>
          <t>Purga de caldeira e condensado ácido ligados ao esgoto por caixa</t>
        </is>
      </c>
      <c r="E141" s="17" t="inlineStr">
        <is>
          <t>Descarga acima de 40 °C danifica a rede e o PVC; sem neutralização</t>
        </is>
      </c>
      <c r="F141" s="17" t="inlineStr">
        <is>
          <t>4</t>
        </is>
      </c>
      <c r="G141" s="17" t="inlineStr">
        <is>
          <t>✔ CONAMA 430/2011 (temperatura e pH de lançamento; ◻ aplicação a rede pública)</t>
        </is>
      </c>
      <c r="H141" s="18" t="n"/>
      <c r="I141" s="13" t="n"/>
      <c r="J141" s="13" t="n"/>
      <c r="K141" s="14" t="n"/>
      <c r="L141" s="13" t="n"/>
      <c r="M141" s="17">
        <f>IF(H141="S","Existe",IF(H141="N","Não existe",IF(H141="?","PIOR CASO: tratar como sem proteção","Não preenchido")))</f>
        <v/>
      </c>
      <c r="N141" s="17">
        <f>IF(H141="?","VISTORIAR",IF(H141="","A PREENCHER",""))</f>
        <v/>
      </c>
      <c r="O141" s="17" t="n">
        <v>11</v>
      </c>
    </row>
    <row r="142">
      <c r="A142" s="17" t="inlineStr">
        <is>
          <t>E23</t>
        </is>
      </c>
      <c r="B142" s="17" t="inlineStr">
        <is>
          <t>E. Esgoto e drenagem</t>
        </is>
      </c>
      <c r="C142" s="17" t="inlineStr">
        <is>
          <t>Válvulas de admissão de ar (AAV) e ventilação secundária</t>
        </is>
      </c>
      <c r="D142" s="17" t="inlineStr">
        <is>
          <t>Válvula que admite ar na coluna no lugar do tubo de ventilação</t>
        </is>
      </c>
      <c r="E142" s="17" t="inlineStr">
        <is>
          <t>Válvula travada devolve gás ao ambiente; aceitação normativa varia</t>
        </is>
      </c>
      <c r="F142" s="17" t="inlineStr">
        <is>
          <t>7</t>
        </is>
      </c>
      <c r="G142" s="17" t="inlineStr">
        <is>
          <t>◻ NBR 8160 (conferir)</t>
        </is>
      </c>
      <c r="H142" s="18" t="n"/>
      <c r="I142" s="13" t="n"/>
      <c r="J142" s="13" t="n"/>
      <c r="K142" s="14" t="n"/>
      <c r="L142" s="13" t="n"/>
      <c r="M142" s="17">
        <f>IF(H142="S","Existe",IF(H142="N","Não existe",IF(H142="?","PIOR CASO: tratar como sem proteção","Não preenchido")))</f>
        <v/>
      </c>
      <c r="N142" s="17">
        <f>IF(H142="?","VISTORIAR",IF(H142="","A PREENCHER",""))</f>
        <v/>
      </c>
      <c r="O142" s="17" t="n">
        <v>11</v>
      </c>
    </row>
    <row r="143">
      <c r="A143" s="17" t="inlineStr">
        <is>
          <t>E24</t>
        </is>
      </c>
      <c r="B143" s="17" t="inlineStr">
        <is>
          <t>E. Esgoto e drenagem</t>
        </is>
      </c>
      <c r="C143" s="17" t="inlineStr">
        <is>
          <t>Sanitários com triturador ou bomba individual</t>
        </is>
      </c>
      <c r="D143" s="17" t="inlineStr">
        <is>
          <t>Triturador em subsolo, vestiário e lojas; bomba individual</t>
        </is>
      </c>
      <c r="E143" s="17" t="inlineStr">
        <is>
          <t>Entupimento por material estranho; bomba sem alarme; retorno por válvula presa</t>
        </is>
      </c>
      <c r="F143" s="17" t="inlineStr">
        <is>
          <t>4,7</t>
        </is>
      </c>
      <c r="G143" s="17" t="inlineStr">
        <is>
          <t>◻ —</t>
        </is>
      </c>
      <c r="H143" s="18" t="n"/>
      <c r="I143" s="13" t="n"/>
      <c r="J143" s="13" t="n"/>
      <c r="K143" s="14" t="n"/>
      <c r="L143" s="13" t="n"/>
      <c r="M143" s="17">
        <f>IF(H143="S","Existe",IF(H143="N","Não existe",IF(H143="?","PIOR CASO: tratar como sem proteção","Não preenchido")))</f>
        <v/>
      </c>
      <c r="N143" s="17">
        <f>IF(H143="?","VISTORIAR",IF(H143="","A PREENCHER",""))</f>
        <v/>
      </c>
      <c r="O143" s="17" t="n">
        <v>11</v>
      </c>
    </row>
    <row r="144">
      <c r="A144" s="17" t="inlineStr">
        <is>
          <t>F1</t>
        </is>
      </c>
      <c r="B144" s="17" t="inlineStr">
        <is>
          <t>F. Tratamento próprio</t>
        </is>
      </c>
      <c r="C144" s="17" t="inlineStr">
        <is>
          <t>ETA própria</t>
        </is>
      </c>
      <c r="D144" s="17" t="inlineStr">
        <is>
          <t>Tratamento da água de poço ou da água bruta (coagulação, filtração, desinfecção)</t>
        </is>
      </c>
      <c r="E144" s="17" t="inlineStr">
        <is>
          <t>Falha na desinfecção; filtro esgotado; ferro e manganês; dosagem sem registro</t>
        </is>
      </c>
      <c r="F144" s="17" t="inlineStr">
        <is>
          <t>3</t>
        </is>
      </c>
      <c r="G144" s="17" t="inlineStr">
        <is>
          <t>✔ Portaria 888/2021</t>
        </is>
      </c>
      <c r="H144" s="18" t="n"/>
      <c r="I144" s="13" t="n"/>
      <c r="J144" s="13" t="n"/>
      <c r="K144" s="14" t="n"/>
      <c r="L144" s="13" t="n"/>
      <c r="M144" s="17">
        <f>IF(H144="S","Existe",IF(H144="N","Não existe",IF(H144="?","PIOR CASO: tratar como sem proteção","Não preenchido")))</f>
        <v/>
      </c>
      <c r="N144" s="17">
        <f>IF(H144="?","VISTORIAR",IF(H144="","A PREENCHER",""))</f>
        <v/>
      </c>
      <c r="O144" s="17" t="n">
        <v>12</v>
      </c>
    </row>
    <row r="145">
      <c r="A145" s="17" t="inlineStr">
        <is>
          <t>F2</t>
        </is>
      </c>
      <c r="B145" s="17" t="inlineStr">
        <is>
          <t>F. Tratamento próprio</t>
        </is>
      </c>
      <c r="C145" s="17" t="inlineStr">
        <is>
          <t>ETE própria / de reúso</t>
        </is>
      </c>
      <c r="D145" s="17" t="inlineStr">
        <is>
          <t>Tratamento do esgoto do prédio (origem do reúso B1)</t>
        </is>
      </c>
      <c r="E145" s="17" t="inlineStr">
        <is>
          <t>Efluente fora do padrão; odor; falha de energia; lançamento sem licença</t>
        </is>
      </c>
      <c r="F145" s="17" t="inlineStr">
        <is>
          <t>3,5</t>
        </is>
      </c>
      <c r="G145" s="17" t="inlineStr">
        <is>
          <t>✔ NBR 16783:2019 · ✔ NBR 12209:2011 (projeto de ETE) · ✔ CONAMA 430/2011</t>
        </is>
      </c>
      <c r="H145" s="18" t="n"/>
      <c r="I145" s="13" t="n"/>
      <c r="J145" s="13" t="n"/>
      <c r="K145" s="14" t="n"/>
      <c r="L145" s="13" t="n"/>
      <c r="M145" s="17">
        <f>IF(H145="S","Existe",IF(H145="N","Não existe",IF(H145="?","PIOR CASO: tratar como sem proteção","Não preenchido")))</f>
        <v/>
      </c>
      <c r="N145" s="17">
        <f>IF(H145="?","VISTORIAR",IF(H145="","A PREENCHER",""))</f>
        <v/>
      </c>
      <c r="O145" s="17" t="n">
        <v>12</v>
      </c>
    </row>
    <row r="146">
      <c r="A146" s="17" t="inlineStr">
        <is>
          <t>F3</t>
        </is>
      </c>
      <c r="B146" s="17" t="inlineStr">
        <is>
          <t>F. Tratamento próprio</t>
        </is>
      </c>
      <c r="C146" s="17" t="inlineStr">
        <is>
          <t>Efluente especial</t>
        </is>
      </c>
      <c r="D146" s="17" t="inlineStr">
        <is>
          <t>Lavagem de veículos e empilhadeiras, pré-tratamento de logístico, laboratórios</t>
        </is>
      </c>
      <c r="E146" s="17" t="inlineStr">
        <is>
          <t>Descarte sem tratamento</t>
        </is>
      </c>
      <c r="F146" s="17" t="inlineStr">
        <is>
          <t>1,4</t>
        </is>
      </c>
      <c r="G146" s="17" t="inlineStr">
        <is>
          <t>✔ CONAMA 430/2011 (◻ legislação estadual)</t>
        </is>
      </c>
      <c r="H146" s="18" t="n"/>
      <c r="I146" s="13" t="n"/>
      <c r="J146" s="13" t="n"/>
      <c r="K146" s="14" t="n"/>
      <c r="L146" s="13" t="n"/>
      <c r="M146" s="17">
        <f>IF(H146="S","Existe",IF(H146="N","Não existe",IF(H146="?","PIOR CASO: tratar como sem proteção","Não preenchido")))</f>
        <v/>
      </c>
      <c r="N146" s="17">
        <f>IF(H146="?","VISTORIAR",IF(H146="","A PREENCHER",""))</f>
        <v/>
      </c>
      <c r="O146" s="17" t="n">
        <v>12</v>
      </c>
    </row>
    <row r="147">
      <c r="A147" s="17" t="inlineStr">
        <is>
          <t>F4</t>
        </is>
      </c>
      <c r="B147" s="17" t="inlineStr">
        <is>
          <t>F. Tratamento próprio</t>
        </is>
      </c>
      <c r="C147" s="17" t="inlineStr">
        <is>
          <t>Fossa séptica, filtro anaeróbio e sumidouro</t>
        </is>
      </c>
      <c r="D147" s="17" t="inlineStr">
        <is>
          <t>Tratamento local sem rede coletora (condomínio logístico fora da rede)</t>
        </is>
      </c>
      <c r="E147" s="17" t="inlineStr">
        <is>
          <t>Transbordo; sumidouro saturado contamina o lençol e poços próximos; sem limpeza</t>
        </is>
      </c>
      <c r="F147" s="17" t="inlineStr">
        <is>
          <t>3,9</t>
        </is>
      </c>
      <c r="G147" s="17" t="inlineStr">
        <is>
          <t>✔ NBR 17076:2024 (tratamento de menor porte, até 12.000 L/dia, substitui NBR 7229 e 13969)</t>
        </is>
      </c>
      <c r="H147" s="18" t="n"/>
      <c r="I147" s="13" t="n"/>
      <c r="J147" s="13" t="n"/>
      <c r="K147" s="14" t="n"/>
      <c r="L147" s="13" t="n"/>
      <c r="M147" s="17">
        <f>IF(H147="S","Existe",IF(H147="N","Não existe",IF(H147="?","PIOR CASO: tratar como sem proteção","Não preenchido")))</f>
        <v/>
      </c>
      <c r="N147" s="17">
        <f>IF(H147="?","VISTORIAR",IF(H147="","A PREENCHER",""))</f>
        <v/>
      </c>
      <c r="O147" s="17" t="n">
        <v>12</v>
      </c>
    </row>
    <row r="148">
      <c r="A148" s="17" t="inlineStr">
        <is>
          <t>F5</t>
        </is>
      </c>
      <c r="B148" s="17" t="inlineStr">
        <is>
          <t>F. Tratamento próprio</t>
        </is>
      </c>
      <c r="C148" s="17" t="inlineStr">
        <is>
          <t>ETE compacta (MBBR, MBR, lodo ativado em pacote)</t>
        </is>
      </c>
      <c r="D148" s="17" t="inlineStr">
        <is>
          <t>ETE de pacote com reator de leito móvel (MBBR) ou de membrana (MBR), soprador</t>
        </is>
      </c>
      <c r="E148" s="17" t="inlineStr">
        <is>
          <t>Falha do soprador; membrana colmatada; lodo em excesso; descarte fora do padrão; alarme sem destinatário</t>
        </is>
      </c>
      <c r="F148" s="17" t="inlineStr">
        <is>
          <t>3,5</t>
        </is>
      </c>
      <c r="G148" s="17" t="inlineStr">
        <is>
          <t>✔ NBR 12209:2011 (projeto de ETE; ◻ porte)</t>
        </is>
      </c>
      <c r="H148" s="18" t="n"/>
      <c r="I148" s="13" t="n"/>
      <c r="J148" s="13" t="n"/>
      <c r="K148" s="14" t="n"/>
      <c r="L148" s="13" t="n"/>
      <c r="M148" s="17">
        <f>IF(H148="S","Existe",IF(H148="N","Não existe",IF(H148="?","PIOR CASO: tratar como sem proteção","Não preenchido")))</f>
        <v/>
      </c>
      <c r="N148" s="17">
        <f>IF(H148="?","VISTORIAR",IF(H148="","A PREENCHER",""))</f>
        <v/>
      </c>
      <c r="O148" s="17" t="n">
        <v>12</v>
      </c>
    </row>
    <row r="149">
      <c r="A149" s="17" t="inlineStr">
        <is>
          <t>F6</t>
        </is>
      </c>
      <c r="B149" s="17" t="inlineStr">
        <is>
          <t>F. Tratamento próprio</t>
        </is>
      </c>
      <c r="C149" s="17" t="inlineStr">
        <is>
          <t>Tratamento terciário do efluente para reúso</t>
        </is>
      </c>
      <c r="D149" s="17" t="inlineStr">
        <is>
          <t>Filtração, cloração e UV após a ETE, antes da reserva de reúso (B7)</t>
        </is>
      </c>
      <c r="E149" s="17" t="inlineStr">
        <is>
          <t>Terciário parado: efluente cru vai ao reúso; residual de cloro baixo</t>
        </is>
      </c>
      <c r="F149" s="17" t="inlineStr">
        <is>
          <t>1,3</t>
        </is>
      </c>
      <c r="G149" s="17" t="inlineStr">
        <is>
          <t>✔ NBR 16783:2019</t>
        </is>
      </c>
      <c r="H149" s="18" t="n"/>
      <c r="I149" s="13" t="n"/>
      <c r="J149" s="13" t="n"/>
      <c r="K149" s="14" t="n"/>
      <c r="L149" s="13" t="n"/>
      <c r="M149" s="17">
        <f>IF(H149="S","Existe",IF(H149="N","Não existe",IF(H149="?","PIOR CASO: tratar como sem proteção","Não preenchido")))</f>
        <v/>
      </c>
      <c r="N149" s="17">
        <f>IF(H149="?","VISTORIAR",IF(H149="","A PREENCHER",""))</f>
        <v/>
      </c>
      <c r="O149" s="17" t="n">
        <v>12</v>
      </c>
    </row>
    <row r="150">
      <c r="A150" s="17" t="inlineStr">
        <is>
          <t>F7</t>
        </is>
      </c>
      <c r="B150" s="17" t="inlineStr">
        <is>
          <t>F. Tratamento próprio</t>
        </is>
      </c>
      <c r="C150" s="17" t="inlineStr">
        <is>
          <t>Lodo e limpeza (limpa-fossa, destinação, MTR)</t>
        </is>
      </c>
      <c r="D150" s="17" t="inlineStr">
        <is>
          <t>Caminhão limpa-fossa, destinação do lodo, manifesto de transporte</t>
        </is>
      </c>
      <c r="E150" s="17" t="inlineStr">
        <is>
          <t>Destinação irregular; limpeza esquecida; lodo no pátio</t>
        </is>
      </c>
      <c r="F150" s="17" t="inlineStr">
        <is>
          <t>3,4</t>
        </is>
      </c>
      <c r="G150" s="17" t="inlineStr">
        <is>
          <t>◻ legislação ambiental estadual</t>
        </is>
      </c>
      <c r="H150" s="18" t="n"/>
      <c r="I150" s="13" t="n"/>
      <c r="J150" s="13" t="n"/>
      <c r="K150" s="14" t="n"/>
      <c r="L150" s="13" t="n"/>
      <c r="M150" s="17">
        <f>IF(H150="S","Existe",IF(H150="N","Não existe",IF(H150="?","PIOR CASO: tratar como sem proteção","Não preenchido")))</f>
        <v/>
      </c>
      <c r="N150" s="17">
        <f>IF(H150="?","VISTORIAR",IF(H150="","A PREENCHER",""))</f>
        <v/>
      </c>
      <c r="O150" s="17" t="n">
        <v>12</v>
      </c>
    </row>
    <row r="151">
      <c r="A151" s="17" t="inlineStr">
        <is>
          <t>F8</t>
        </is>
      </c>
      <c r="B151" s="17" t="inlineStr">
        <is>
          <t>F. Tratamento próprio</t>
        </is>
      </c>
      <c r="C151" s="17" t="inlineStr">
        <is>
          <t>Recirculação e tratamento de água de lavagem (lava-rápido, empilhadeiras, fachada)</t>
        </is>
      </c>
      <c r="D151" s="17" t="inlineStr">
        <is>
          <t>Reciclagem da água de lavagem com filtros e separador; tratamento de água de lavagem de fachada</t>
        </is>
      </c>
      <c r="E151" s="17" t="inlineStr">
        <is>
          <t>Reciclada sem controle volta com óleo e produto; ligação ao potável para completar o nível; descarte ao pluvial</t>
        </is>
      </c>
      <c r="F151" s="17" t="inlineStr">
        <is>
          <t>1,3</t>
        </is>
      </c>
      <c r="G151" s="17" t="inlineStr">
        <is>
          <t>✔ CONAMA 430/2011 (◻ legislação estadual)</t>
        </is>
      </c>
      <c r="H151" s="18" t="n"/>
      <c r="I151" s="13" t="n"/>
      <c r="J151" s="13" t="n"/>
      <c r="K151" s="14" t="n"/>
      <c r="L151" s="13" t="n"/>
      <c r="M151" s="17">
        <f>IF(H151="S","Existe",IF(H151="N","Não existe",IF(H151="?","PIOR CASO: tratar como sem proteção","Não preenchido")))</f>
        <v/>
      </c>
      <c r="N151" s="17">
        <f>IF(H151="?","VISTORIAR",IF(H151="","A PREENCHER",""))</f>
        <v/>
      </c>
      <c r="O151" s="17" t="n">
        <v>12</v>
      </c>
    </row>
    <row r="152">
      <c r="A152" s="17" t="inlineStr">
        <is>
          <t>G1</t>
        </is>
      </c>
      <c r="B152" s="17" t="inlineStr">
        <is>
          <t>G. Usos especiais</t>
        </is>
      </c>
      <c r="C152" s="17" t="inlineStr">
        <is>
          <t>Piscina, spa, hidromassagem</t>
        </is>
      </c>
      <c r="D152" s="17" t="inlineStr">
        <is>
          <t>Tratamento químico, filtros, circulação</t>
        </is>
      </c>
      <c r="E152" s="17" t="inlineStr">
        <is>
          <t>Cloro baixo; contaminação microbiana; reposição ligada ao potável sem folga</t>
        </is>
      </c>
      <c r="F152" s="17" t="inlineStr">
        <is>
          <t>1,3</t>
        </is>
      </c>
      <c r="G152" s="17" t="inlineStr">
        <is>
          <t>✔ NBR 10339:2018</t>
        </is>
      </c>
      <c r="H152" s="18" t="n"/>
      <c r="I152" s="13" t="n"/>
      <c r="J152" s="13" t="n"/>
      <c r="K152" s="14" t="n"/>
      <c r="L152" s="13" t="n"/>
      <c r="M152" s="17">
        <f>IF(H152="S","Existe",IF(H152="N","Não existe",IF(H152="?","PIOR CASO: tratar como sem proteção","Não preenchido")))</f>
        <v/>
      </c>
      <c r="N152" s="17">
        <f>IF(H152="?","VISTORIAR",IF(H152="","A PREENCHER",""))</f>
        <v/>
      </c>
      <c r="O152" s="17" t="n">
        <v>13</v>
      </c>
    </row>
    <row r="153">
      <c r="A153" s="17" t="inlineStr">
        <is>
          <t>G2</t>
        </is>
      </c>
      <c r="B153" s="17" t="inlineStr">
        <is>
          <t>G. Usos especiais</t>
        </is>
      </c>
      <c r="C153" s="17" t="inlineStr">
        <is>
          <t>Fontes, espelhos d'água, cascatas</t>
        </is>
      </c>
      <c r="D153" s="17" t="inlineStr">
        <is>
          <t>Decorativos em hall e praça</t>
        </is>
      </c>
      <c r="E153" s="17" t="inlineStr">
        <is>
          <t>Legionella; aerossol; algas; reposição por mangueira</t>
        </is>
      </c>
      <c r="F153" s="17" t="inlineStr">
        <is>
          <t>3</t>
        </is>
      </c>
      <c r="G153" s="17" t="inlineStr">
        <is>
          <t>✔ ASHRAE Guideline 12 (aerossol; ◻ aplicabilidade)</t>
        </is>
      </c>
      <c r="H153" s="18" t="n"/>
      <c r="I153" s="13" t="n"/>
      <c r="J153" s="13" t="n"/>
      <c r="K153" s="14" t="n"/>
      <c r="L153" s="13" t="n"/>
      <c r="M153" s="17">
        <f>IF(H153="S","Existe",IF(H153="N","Não existe",IF(H153="?","PIOR CASO: tratar como sem proteção","Não preenchido")))</f>
        <v/>
      </c>
      <c r="N153" s="17">
        <f>IF(H153="?","VISTORIAR",IF(H153="","A PREENCHER",""))</f>
        <v/>
      </c>
      <c r="O153" s="17" t="n">
        <v>13</v>
      </c>
    </row>
    <row r="154">
      <c r="A154" s="17" t="inlineStr">
        <is>
          <t>G3</t>
        </is>
      </c>
      <c r="B154" s="17" t="inlineStr">
        <is>
          <t>G. Usos especiais</t>
        </is>
      </c>
      <c r="C154" s="17" t="inlineStr">
        <is>
          <t>Irrigação e paisagismo</t>
        </is>
      </c>
      <c r="D154" s="17" t="inlineStr">
        <is>
          <t>Cisterna de jardim, aspersores, parede verde (ver G14)</t>
        </is>
      </c>
      <c r="E154" s="17" t="inlineStr">
        <is>
          <t>Ligação ao potável sem barreira; mistura com reúso; aspersor com aerossol</t>
        </is>
      </c>
      <c r="F154" s="17" t="inlineStr">
        <is>
          <t>1,3</t>
        </is>
      </c>
      <c r="G154" s="17" t="inlineStr">
        <is>
          <t>◻ —</t>
        </is>
      </c>
      <c r="H154" s="18" t="n"/>
      <c r="I154" s="13" t="n"/>
      <c r="J154" s="13" t="n"/>
      <c r="K154" s="14" t="n"/>
      <c r="L154" s="13" t="n"/>
      <c r="M154" s="17">
        <f>IF(H154="S","Existe",IF(H154="N","Não existe",IF(H154="?","PIOR CASO: tratar como sem proteção","Não preenchido")))</f>
        <v/>
      </c>
      <c r="N154" s="17">
        <f>IF(H154="?","VISTORIAR",IF(H154="","A PREENCHER",""))</f>
        <v/>
      </c>
      <c r="O154" s="17" t="n">
        <v>16</v>
      </c>
    </row>
    <row r="155">
      <c r="A155" s="17" t="inlineStr">
        <is>
          <t>G4</t>
        </is>
      </c>
      <c r="B155" s="17" t="inlineStr">
        <is>
          <t>G. Usos especiais</t>
        </is>
      </c>
      <c r="C155" s="17" t="inlineStr">
        <is>
          <t>Cozinha e copas</t>
        </is>
      </c>
      <c r="D155" s="17" t="inlineStr">
        <is>
          <t>Máquina de gelo, lava-louças, cafeteiras, bebedouro industrial</t>
        </is>
      </c>
      <c r="E155" s="17" t="inlineStr">
        <is>
          <t>Filtro vencido; mangueira ligada direto em ponto de risco; reservatório do restaurante sem limpeza</t>
        </is>
      </c>
      <c r="F155" s="17" t="inlineStr">
        <is>
          <t>1,3</t>
        </is>
      </c>
      <c r="G155" s="17" t="inlineStr">
        <is>
          <t>✔ RDC Anvisa 216/2004 (serviços de alimentação; reservatório limpo no máximo a cada 6 meses, segundo fonte secundária: ◻ conferir)</t>
        </is>
      </c>
      <c r="H155" s="18" t="n"/>
      <c r="I155" s="13" t="n"/>
      <c r="J155" s="13" t="n"/>
      <c r="K155" s="14" t="n"/>
      <c r="L155" s="13" t="n"/>
      <c r="M155" s="17">
        <f>IF(H155="S","Existe",IF(H155="N","Não existe",IF(H155="?","PIOR CASO: tratar como sem proteção","Não preenchido")))</f>
        <v/>
      </c>
      <c r="N155" s="17">
        <f>IF(H155="?","VISTORIAR",IF(H155="","A PREENCHER",""))</f>
        <v/>
      </c>
      <c r="O155" s="17" t="n">
        <v>14</v>
      </c>
    </row>
    <row r="156">
      <c r="A156" s="17" t="inlineStr">
        <is>
          <t>G5</t>
        </is>
      </c>
      <c r="B156" s="17" t="inlineStr">
        <is>
          <t>G. Usos especiais</t>
        </is>
      </c>
      <c r="C156" s="17" t="inlineStr">
        <is>
          <t>Lavanderia</t>
        </is>
      </c>
      <c r="D156" s="17" t="inlineStr">
        <is>
          <t>Máquinas industriais, tanque de produto</t>
        </is>
      </c>
      <c r="E156" s="17" t="inlineStr">
        <is>
          <t>Retorno de químico para a rede; produto dosado direto da rede</t>
        </is>
      </c>
      <c r="F156" s="17" t="inlineStr">
        <is>
          <t>1,3</t>
        </is>
      </c>
      <c r="G156" s="17" t="inlineStr">
        <is>
          <t>◻ —</t>
        </is>
      </c>
      <c r="H156" s="18" t="n"/>
      <c r="I156" s="13" t="n"/>
      <c r="J156" s="13" t="n"/>
      <c r="K156" s="14" t="n"/>
      <c r="L156" s="13" t="n"/>
      <c r="M156" s="17">
        <f>IF(H156="S","Existe",IF(H156="N","Não existe",IF(H156="?","PIOR CASO: tratar como sem proteção","Não preenchido")))</f>
        <v/>
      </c>
      <c r="N156" s="17">
        <f>IF(H156="?","VISTORIAR",IF(H156="","A PREENCHER",""))</f>
        <v/>
      </c>
      <c r="O156" s="17" t="n">
        <v>14</v>
      </c>
    </row>
    <row r="157">
      <c r="A157" s="17" t="inlineStr">
        <is>
          <t>G6</t>
        </is>
      </c>
      <c r="B157" s="17" t="inlineStr">
        <is>
          <t>G. Usos especiais</t>
        </is>
      </c>
      <c r="C157" s="17" t="inlineStr">
        <is>
          <t>Lava-olhos e chuveiros de emergência</t>
        </is>
      </c>
      <c r="D157" s="17" t="inlineStr">
        <is>
          <t>Em salas de bateria, produtos químicos, áreas de manutenção</t>
        </is>
      </c>
      <c r="E157" s="17" t="inlineStr">
        <is>
          <t>Estagnação: ninguém aciona; sai água suja ou fria demais na hora em que precisa</t>
        </is>
      </c>
      <c r="F157" s="17" t="inlineStr">
        <is>
          <t>3</t>
        </is>
      </c>
      <c r="G157" s="17" t="inlineStr">
        <is>
          <t>✔ ANSI/ISEA Z358.1 (norma americana; acionamento semanal e água tépida de 16 a 38 °C, segundo fontes secundárias)</t>
        </is>
      </c>
      <c r="H157" s="18" t="n"/>
      <c r="I157" s="13" t="n"/>
      <c r="J157" s="13" t="n"/>
      <c r="K157" s="14" t="n"/>
      <c r="L157" s="13" t="n"/>
      <c r="M157" s="17">
        <f>IF(H157="S","Existe",IF(H157="N","Não existe",IF(H157="?","PIOR CASO: tratar como sem proteção","Não preenchido")))</f>
        <v/>
      </c>
      <c r="N157" s="17">
        <f>IF(H157="?","VISTORIAR",IF(H157="","A PREENCHER",""))</f>
        <v/>
      </c>
      <c r="O157" s="17" t="n">
        <v>15</v>
      </c>
    </row>
    <row r="158">
      <c r="A158" s="17" t="inlineStr">
        <is>
          <t>G7</t>
        </is>
      </c>
      <c r="B158" s="17" t="inlineStr">
        <is>
          <t>G. Usos especiais</t>
        </is>
      </c>
      <c r="C158" s="17" t="inlineStr">
        <is>
          <t>Laboratório / água DI</t>
        </is>
      </c>
      <c r="D158" s="17" t="inlineStr">
        <is>
          <t>Água destilada, deionizada, tratamentos</t>
        </is>
      </c>
      <c r="E158" s="17" t="inlineStr">
        <is>
          <t>Contaminação química e microbiológica; equipamento ligado à rede sem proteção</t>
        </is>
      </c>
      <c r="F158" s="17" t="inlineStr">
        <is>
          <t>1,3</t>
        </is>
      </c>
      <c r="G158" s="17" t="inlineStr">
        <is>
          <t>◻ —</t>
        </is>
      </c>
      <c r="H158" s="18" t="n"/>
      <c r="I158" s="13" t="n"/>
      <c r="J158" s="13" t="n"/>
      <c r="K158" s="14" t="n"/>
      <c r="L158" s="13" t="n"/>
      <c r="M158" s="17">
        <f>IF(H158="S","Existe",IF(H158="N","Não existe",IF(H158="?","PIOR CASO: tratar como sem proteção","Não preenchido")))</f>
        <v/>
      </c>
      <c r="N158" s="17">
        <f>IF(H158="?","VISTORIAR",IF(H158="","A PREENCHER",""))</f>
        <v/>
      </c>
      <c r="O158" s="17" t="n">
        <v>14</v>
      </c>
    </row>
    <row r="159">
      <c r="A159" s="17" t="inlineStr">
        <is>
          <t>G8</t>
        </is>
      </c>
      <c r="B159" s="17" t="inlineStr">
        <is>
          <t>G. Usos especiais</t>
        </is>
      </c>
      <c r="C159" s="17" t="inlineStr">
        <is>
          <t>Câmaras frias e degelo</t>
        </is>
      </c>
      <c r="D159" s="17" t="inlineStr">
        <is>
          <t>Dreno de degelo, condensador evaporativo (ver C27)</t>
        </is>
      </c>
      <c r="E159" s="17" t="inlineStr">
        <is>
          <t>Dreno entupido; gelo; contaminação da câmara</t>
        </is>
      </c>
      <c r="F159" s="17" t="inlineStr">
        <is>
          <t>4</t>
        </is>
      </c>
      <c r="G159" s="17" t="inlineStr">
        <is>
          <t>◻ —</t>
        </is>
      </c>
      <c r="H159" s="18" t="n"/>
      <c r="I159" s="13" t="n"/>
      <c r="J159" s="13" t="n"/>
      <c r="K159" s="14" t="n"/>
      <c r="L159" s="13" t="n"/>
      <c r="M159" s="17">
        <f>IF(H159="S","Existe",IF(H159="N","Não existe",IF(H159="?","PIOR CASO: tratar como sem proteção","Não preenchido")))</f>
        <v/>
      </c>
      <c r="N159" s="17">
        <f>IF(H159="?","VISTORIAR",IF(H159="","A PREENCHER",""))</f>
        <v/>
      </c>
      <c r="O159" s="17" t="n">
        <v>14</v>
      </c>
    </row>
    <row r="160">
      <c r="A160" s="17" t="inlineStr">
        <is>
          <t>G9</t>
        </is>
      </c>
      <c r="B160" s="17" t="inlineStr">
        <is>
          <t>G. Usos especiais</t>
        </is>
      </c>
      <c r="C160" s="17" t="inlineStr">
        <is>
          <t>Resfriamento evaporativo e nebulização em galpão</t>
        </is>
      </c>
      <c r="D160" s="17" t="inlineStr">
        <is>
          <t>Painéis adiabáticos, nebulizadores</t>
        </is>
      </c>
      <c r="E160" s="17" t="inlineStr">
        <is>
          <t>Estagnação; aerossol; Legionella</t>
        </is>
      </c>
      <c r="F160" s="17" t="inlineStr">
        <is>
          <t>3</t>
        </is>
      </c>
      <c r="G160" s="17" t="inlineStr">
        <is>
          <t>✔ ASHRAE Guideline 12 (aerossol; ◻ aplicabilidade)</t>
        </is>
      </c>
      <c r="H160" s="18" t="n"/>
      <c r="I160" s="13" t="n"/>
      <c r="J160" s="13" t="n"/>
      <c r="K160" s="14" t="n"/>
      <c r="L160" s="13" t="n"/>
      <c r="M160" s="17">
        <f>IF(H160="S","Existe",IF(H160="N","Não existe",IF(H160="?","PIOR CASO: tratar como sem proteção","Não preenchido")))</f>
        <v/>
      </c>
      <c r="N160" s="17">
        <f>IF(H160="?","VISTORIAR",IF(H160="","A PREENCHER",""))</f>
        <v/>
      </c>
      <c r="O160" s="17" t="n">
        <v>16</v>
      </c>
    </row>
    <row r="161">
      <c r="A161" s="17" t="inlineStr">
        <is>
          <t>G10</t>
        </is>
      </c>
      <c r="B161" s="17" t="inlineStr">
        <is>
          <t>G. Usos especiais</t>
        </is>
      </c>
      <c r="C161" s="17" t="inlineStr">
        <is>
          <t>Lavagem de piso e fachada</t>
        </is>
      </c>
      <c r="D161" s="17" t="inlineStr">
        <is>
          <t>Lavadoras, pontos de mangueira em garagem</t>
        </is>
      </c>
      <c r="E161" s="17" t="inlineStr">
        <is>
          <t>Mangueira conectada em ponto de potável de risco; produto aspirado pela rede</t>
        </is>
      </c>
      <c r="F161" s="17" t="inlineStr">
        <is>
          <t>1</t>
        </is>
      </c>
      <c r="G161" s="17" t="inlineStr">
        <is>
          <t>◻ —</t>
        </is>
      </c>
      <c r="H161" s="18" t="n"/>
      <c r="I161" s="13" t="n"/>
      <c r="J161" s="13" t="n"/>
      <c r="K161" s="14" t="n"/>
      <c r="L161" s="13" t="n"/>
      <c r="M161" s="17">
        <f>IF(H161="S","Existe",IF(H161="N","Não existe",IF(H161="?","PIOR CASO: tratar como sem proteção","Não preenchido")))</f>
        <v/>
      </c>
      <c r="N161" s="17">
        <f>IF(H161="?","VISTORIAR",IF(H161="","A PREENCHER",""))</f>
        <v/>
      </c>
      <c r="O161" s="17" t="n">
        <v>3</v>
      </c>
    </row>
    <row r="162">
      <c r="A162" s="17" t="inlineStr">
        <is>
          <t>G11</t>
        </is>
      </c>
      <c r="B162" s="17" t="inlineStr">
        <is>
          <t>G. Usos especiais</t>
        </is>
      </c>
      <c r="C162" s="17" t="inlineStr">
        <is>
          <t>Zeladoria e DML</t>
        </is>
      </c>
      <c r="D162" s="17" t="inlineStr">
        <is>
          <t>Tanques de limpeza, torneiras de serviço</t>
        </is>
      </c>
      <c r="E162" s="17" t="inlineStr">
        <is>
          <t>Mangueira mergulhada em balde; retorno</t>
        </is>
      </c>
      <c r="F162" s="17" t="inlineStr">
        <is>
          <t>1</t>
        </is>
      </c>
      <c r="G162" s="17" t="inlineStr">
        <is>
          <t>◻ —</t>
        </is>
      </c>
      <c r="H162" s="18" t="n"/>
      <c r="I162" s="13" t="n"/>
      <c r="J162" s="13" t="n"/>
      <c r="K162" s="14" t="n"/>
      <c r="L162" s="13" t="n"/>
      <c r="M162" s="17">
        <f>IF(H162="S","Existe",IF(H162="N","Não existe",IF(H162="?","PIOR CASO: tratar como sem proteção","Não preenchido")))</f>
        <v/>
      </c>
      <c r="N162" s="17">
        <f>IF(H162="?","VISTORIAR",IF(H162="","A PREENCHER",""))</f>
        <v/>
      </c>
      <c r="O162" s="17" t="n">
        <v>3</v>
      </c>
    </row>
    <row r="163">
      <c r="A163" s="17" t="inlineStr">
        <is>
          <t>G12</t>
        </is>
      </c>
      <c r="B163" s="17" t="inlineStr">
        <is>
          <t>G. Usos especiais</t>
        </is>
      </c>
      <c r="C163" s="17" t="inlineStr">
        <is>
          <t>Chuveiros e vestiários (logístico/indústria)</t>
        </is>
      </c>
      <c r="D163" s="17" t="inlineStr">
        <is>
          <t>Uso coletivo, volume alto</t>
        </is>
      </c>
      <c r="E163" s="17" t="inlineStr">
        <is>
          <t>Água quente morna; uso irregular; biofilme</t>
        </is>
      </c>
      <c r="F163" s="17" t="inlineStr">
        <is>
          <t>3</t>
        </is>
      </c>
      <c r="G163" s="17" t="inlineStr">
        <is>
          <t>◻ NBR 5626:2020 (geral; ◻ cláusula de água quente)</t>
        </is>
      </c>
      <c r="H163" s="18" t="n"/>
      <c r="I163" s="13" t="n"/>
      <c r="J163" s="13" t="n"/>
      <c r="K163" s="14" t="n"/>
      <c r="L163" s="13" t="n"/>
      <c r="M163" s="17">
        <f>IF(H163="S","Existe",IF(H163="N","Não existe",IF(H163="?","PIOR CASO: tratar como sem proteção","Não preenchido")))</f>
        <v/>
      </c>
      <c r="N163" s="17">
        <f>IF(H163="?","VISTORIAR",IF(H163="","A PREENCHER",""))</f>
        <v/>
      </c>
      <c r="O163" s="17" t="n">
        <v>5</v>
      </c>
    </row>
    <row r="164">
      <c r="A164" s="17" t="inlineStr">
        <is>
          <t>G13</t>
        </is>
      </c>
      <c r="B164" s="17" t="inlineStr">
        <is>
          <t>G. Usos especiais</t>
        </is>
      </c>
      <c r="C164" s="17" t="inlineStr">
        <is>
          <t>Telhado verde / cobertura verde</t>
        </is>
      </c>
      <c r="D164" s="17" t="inlineStr">
        <is>
          <t>Camada vegetal com irrigação e drenagem na laje</t>
        </is>
      </c>
      <c r="E164" s="17" t="inlineStr">
        <is>
          <t>Irrigação ligada ao potável sem barreira; ralo entupido por terra; infiltração na laje</t>
        </is>
      </c>
      <c r="F164" s="17" t="inlineStr">
        <is>
          <t>1,4</t>
        </is>
      </c>
      <c r="G164" s="17" t="inlineStr">
        <is>
          <t>◻ —</t>
        </is>
      </c>
      <c r="H164" s="18" t="n"/>
      <c r="I164" s="13" t="n"/>
      <c r="J164" s="13" t="n"/>
      <c r="K164" s="14" t="n"/>
      <c r="L164" s="13" t="n"/>
      <c r="M164" s="17">
        <f>IF(H164="S","Existe",IF(H164="N","Não existe",IF(H164="?","PIOR CASO: tratar como sem proteção","Não preenchido")))</f>
        <v/>
      </c>
      <c r="N164" s="17">
        <f>IF(H164="?","VISTORIAR",IF(H164="","A PREENCHER",""))</f>
        <v/>
      </c>
      <c r="O164" s="17" t="n">
        <v>16</v>
      </c>
    </row>
    <row r="165">
      <c r="A165" s="17" t="inlineStr">
        <is>
          <t>G14</t>
        </is>
      </c>
      <c r="B165" s="17" t="inlineStr">
        <is>
          <t>G. Usos especiais</t>
        </is>
      </c>
      <c r="C165" s="17" t="inlineStr">
        <is>
          <t>Jardim vertical / parede verde</t>
        </is>
      </c>
      <c r="D165" s="17" t="inlineStr">
        <is>
          <t>Fitofachada com irrigação recirculada e reservatório</t>
        </is>
      </c>
      <c r="E165" s="17" t="inlineStr">
        <is>
          <t>Recirculação com biofilme e aerossol; fertirrigação ligada ao potável sem retenção; vazamento em fachada</t>
        </is>
      </c>
      <c r="F165" s="17" t="inlineStr">
        <is>
          <t>1,3,4</t>
        </is>
      </c>
      <c r="G165" s="17" t="inlineStr">
        <is>
          <t>◻ —</t>
        </is>
      </c>
      <c r="H165" s="18" t="n"/>
      <c r="I165" s="13" t="n"/>
      <c r="J165" s="13" t="n"/>
      <c r="K165" s="14" t="n"/>
      <c r="L165" s="13" t="n"/>
      <c r="M165" s="17">
        <f>IF(H165="S","Existe",IF(H165="N","Não existe",IF(H165="?","PIOR CASO: tratar como sem proteção","Não preenchido")))</f>
        <v/>
      </c>
      <c r="N165" s="17">
        <f>IF(H165="?","VISTORIAR",IF(H165="","A PREENCHER",""))</f>
        <v/>
      </c>
      <c r="O165" s="17" t="n">
        <v>16</v>
      </c>
    </row>
    <row r="166">
      <c r="A166" s="17" t="inlineStr">
        <is>
          <t>G15</t>
        </is>
      </c>
      <c r="B166" s="17" t="inlineStr">
        <is>
          <t>G. Usos especiais</t>
        </is>
      </c>
      <c r="C166" s="17" t="inlineStr">
        <is>
          <t>Lava-rápido e lavagem de caminhões (docas, áreas de lavagem)</t>
        </is>
      </c>
      <c r="D166" s="17" t="inlineStr">
        <is>
          <t>Pista de lavagem com bomba de alta pressão, produto, canaleta</t>
        </is>
      </c>
      <c r="E166" s="17" t="inlineStr">
        <is>
          <t>Mangueira em ponto potável; água de lavagem ao pluvial; separador saturado</t>
        </is>
      </c>
      <c r="F166" s="17" t="inlineStr">
        <is>
          <t>1,4</t>
        </is>
      </c>
      <c r="G166" s="17" t="inlineStr">
        <is>
          <t>✔ CONAMA 430/2011 (◻ legislação estadual)</t>
        </is>
      </c>
      <c r="H166" s="18" t="n"/>
      <c r="I166" s="13" t="n"/>
      <c r="J166" s="13" t="n"/>
      <c r="K166" s="14" t="n"/>
      <c r="L166" s="13" t="n"/>
      <c r="M166" s="17">
        <f>IF(H166="S","Existe",IF(H166="N","Não existe",IF(H166="?","PIOR CASO: tratar como sem proteção","Não preenchido")))</f>
        <v/>
      </c>
      <c r="N166" s="17">
        <f>IF(H166="?","VISTORIAR",IF(H166="","A PREENCHER",""))</f>
        <v/>
      </c>
      <c r="O166" s="17" t="n">
        <v>16</v>
      </c>
    </row>
    <row r="167">
      <c r="A167" s="17" t="inlineStr">
        <is>
          <t>G16</t>
        </is>
      </c>
      <c r="B167" s="17" t="inlineStr">
        <is>
          <t>G. Usos especiais</t>
        </is>
      </c>
      <c r="C167" s="17" t="inlineStr">
        <is>
          <t>Máquinas de gelo industriais e câmara de gelo</t>
        </is>
      </c>
      <c r="D167" s="17" t="inlineStr">
        <is>
          <t>Fábrica de gelo em barra ou escama, câmara de estocagem de gelo</t>
        </is>
      </c>
      <c r="E167" s="17" t="inlineStr">
        <is>
          <t>Gelo é alimento: filtro vencido, drenos ligados ao esgoto sem folga, reposição por mangueira</t>
        </is>
      </c>
      <c r="F167" s="17" t="inlineStr">
        <is>
          <t>1,3</t>
        </is>
      </c>
      <c r="G167" s="17" t="inlineStr">
        <is>
          <t>✔ RDC Anvisa 216/2004 (serviços de alimentação; ◻ aplicabilidade)</t>
        </is>
      </c>
      <c r="H167" s="18" t="n"/>
      <c r="I167" s="13" t="n"/>
      <c r="J167" s="13" t="n"/>
      <c r="K167" s="14" t="n"/>
      <c r="L167" s="13" t="n"/>
      <c r="M167" s="17">
        <f>IF(H167="S","Existe",IF(H167="N","Não existe",IF(H167="?","PIOR CASO: tratar como sem proteção","Não preenchido")))</f>
        <v/>
      </c>
      <c r="N167" s="17">
        <f>IF(H167="?","VISTORIAR",IF(H167="","A PREENCHER",""))</f>
        <v/>
      </c>
      <c r="O167" s="17" t="n">
        <v>14</v>
      </c>
    </row>
    <row r="168">
      <c r="A168" s="17" t="inlineStr">
        <is>
          <t>G17</t>
        </is>
      </c>
      <c r="B168" s="17" t="inlineStr">
        <is>
          <t>G. Usos especiais</t>
        </is>
      </c>
      <c r="C168" s="17" t="inlineStr">
        <is>
          <t>Degelo por água em evaporadores</t>
        </is>
      </c>
      <c r="D168" s="17" t="inlineStr">
        <is>
          <t>Spray de água para degelo de evaporadores de câmaras e túneis</t>
        </is>
      </c>
      <c r="E168" s="17" t="inlineStr">
        <is>
          <t>Água de degelo com glicol ou refrigerante; dreno entupido forma gelo; ligação ao potável</t>
        </is>
      </c>
      <c r="F168" s="17" t="inlineStr">
        <is>
          <t>1,4</t>
        </is>
      </c>
      <c r="G168" s="17" t="inlineStr">
        <is>
          <t>◻ —</t>
        </is>
      </c>
      <c r="H168" s="18" t="n"/>
      <c r="I168" s="13" t="n"/>
      <c r="J168" s="13" t="n"/>
      <c r="K168" s="14" t="n"/>
      <c r="L168" s="13" t="n"/>
      <c r="M168" s="17">
        <f>IF(H168="S","Existe",IF(H168="N","Não existe",IF(H168="?","PIOR CASO: tratar como sem proteção","Não preenchido")))</f>
        <v/>
      </c>
      <c r="N168" s="17">
        <f>IF(H168="?","VISTORIAR",IF(H168="","A PREENCHER",""))</f>
        <v/>
      </c>
      <c r="O168" s="17" t="n">
        <v>14</v>
      </c>
    </row>
    <row r="169">
      <c r="A169" s="17" t="inlineStr">
        <is>
          <t>G18</t>
        </is>
      </c>
      <c r="B169" s="17" t="inlineStr">
        <is>
          <t>G. Usos especiais</t>
        </is>
      </c>
      <c r="C169" s="17" t="inlineStr">
        <is>
          <t>Água de resfriamento de compressores e equipamentos de processo</t>
        </is>
      </c>
      <c r="D169" s="17" t="inlineStr">
        <is>
          <t>Compressores, prensas e equipamentos refrigerados a água, em circuito aberto ou fechado</t>
        </is>
      </c>
      <c r="E169" s="17" t="inlineStr">
        <is>
          <t>Circuito aberto alimentado direto da rede; vazamento de óleo no circuito; contrapressão da bomba do equipamento</t>
        </is>
      </c>
      <c r="F169" s="17" t="inlineStr">
        <is>
          <t>1,4</t>
        </is>
      </c>
      <c r="G169" s="17" t="inlineStr">
        <is>
          <t>◻ —</t>
        </is>
      </c>
      <c r="H169" s="18" t="n"/>
      <c r="I169" s="13" t="n"/>
      <c r="J169" s="13" t="n"/>
      <c r="K169" s="14" t="n"/>
      <c r="L169" s="13" t="n"/>
      <c r="M169" s="17">
        <f>IF(H169="S","Existe",IF(H169="N","Não existe",IF(H169="?","PIOR CASO: tratar como sem proteção","Não preenchido")))</f>
        <v/>
      </c>
      <c r="N169" s="17">
        <f>IF(H169="?","VISTORIAR",IF(H169="","A PREENCHER",""))</f>
        <v/>
      </c>
      <c r="O169" s="17" t="n">
        <v>14</v>
      </c>
    </row>
    <row r="170">
      <c r="A170" s="17" t="inlineStr">
        <is>
          <t>G19</t>
        </is>
      </c>
      <c r="B170" s="17" t="inlineStr">
        <is>
          <t>G. Usos especiais</t>
        </is>
      </c>
      <c r="C170" s="17" t="inlineStr">
        <is>
          <t>Saunas, banho turco e duchas de academia ou wellness</t>
        </is>
      </c>
      <c r="D170" s="17" t="inlineStr">
        <is>
          <t>Gerador de vapor, duchas, ofurô, ducha escocesa</t>
        </is>
      </c>
      <c r="E170" s="17" t="inlineStr">
        <is>
          <t>Reservatório do vapor com biofilme; ducha em desuso estagna; Legionella em aerossol</t>
        </is>
      </c>
      <c r="F170" s="17" t="inlineStr">
        <is>
          <t>3</t>
        </is>
      </c>
      <c r="G170" s="17" t="inlineStr">
        <is>
          <t>✔ ASHRAE Guideline 12 (aerossol; ◻ aplicabilidade)</t>
        </is>
      </c>
      <c r="H170" s="18" t="n"/>
      <c r="I170" s="13" t="n"/>
      <c r="J170" s="13" t="n"/>
      <c r="K170" s="14" t="n"/>
      <c r="L170" s="13" t="n"/>
      <c r="M170" s="17">
        <f>IF(H170="S","Existe",IF(H170="N","Não existe",IF(H170="?","PIOR CASO: tratar como sem proteção","Não preenchido")))</f>
        <v/>
      </c>
      <c r="N170" s="17">
        <f>IF(H170="?","VISTORIAR",IF(H170="","A PREENCHER",""))</f>
        <v/>
      </c>
      <c r="O170" s="17" t="n">
        <v>13</v>
      </c>
    </row>
    <row r="171">
      <c r="A171" s="17" t="inlineStr">
        <is>
          <t>G20</t>
        </is>
      </c>
      <c r="B171" s="17" t="inlineStr">
        <is>
          <t>G. Usos especiais</t>
        </is>
      </c>
      <c r="C171" s="17" t="inlineStr">
        <is>
          <t>Cozinha profissional: forno combinado, lava-louças de túnel, boiler de café, lavador de coifa</t>
        </is>
      </c>
      <c r="D171" s="17" t="inlineStr">
        <is>
          <t>Equipamentos com consumo alto, tanque e bomba próprios</t>
        </is>
      </c>
      <c r="E171" s="17" t="inlineStr">
        <is>
          <t>Lavador de coifa ligado ao potável com produto químico; boiler sem retenção; bomba de pressurização do equipamento gera contrapressão</t>
        </is>
      </c>
      <c r="F171" s="17" t="inlineStr">
        <is>
          <t>1,3</t>
        </is>
      </c>
      <c r="G171" s="17" t="inlineStr">
        <is>
          <t>✔ RDC Anvisa 216/2004 (◻ aplicabilidade)</t>
        </is>
      </c>
      <c r="H171" s="18" t="n"/>
      <c r="I171" s="13" t="n"/>
      <c r="J171" s="13" t="n"/>
      <c r="K171" s="14" t="n"/>
      <c r="L171" s="13" t="n"/>
      <c r="M171" s="17">
        <f>IF(H171="S","Existe",IF(H171="N","Não existe",IF(H171="?","PIOR CASO: tratar como sem proteção","Não preenchido")))</f>
        <v/>
      </c>
      <c r="N171" s="17">
        <f>IF(H171="?","VISTORIAR",IF(H171="","A PREENCHER",""))</f>
        <v/>
      </c>
      <c r="O171" s="17" t="n">
        <v>14</v>
      </c>
    </row>
    <row r="172">
      <c r="A172" s="17" t="inlineStr">
        <is>
          <t>G21</t>
        </is>
      </c>
      <c r="B172" s="17" t="inlineStr">
        <is>
          <t>G. Usos especiais</t>
        </is>
      </c>
      <c r="C172" s="17" t="inlineStr">
        <is>
          <t>Lava-olhos portáteis e estações autônomas</t>
        </is>
      </c>
      <c r="D172" s="17" t="inlineStr">
        <is>
          <t>Frasco ou tanque de lava-olhos fora de ponto fixo</t>
        </is>
      </c>
      <c r="E172" s="17" t="inlineStr">
        <is>
          <t>Água do tanque parada e vencida; tanque vazio; sinalização apagada</t>
        </is>
      </c>
      <c r="F172" s="17" t="inlineStr">
        <is>
          <t>3</t>
        </is>
      </c>
      <c r="G172" s="17" t="inlineStr">
        <is>
          <t>✔ ANSI/ISEA Z358.1 (norma americana)</t>
        </is>
      </c>
      <c r="H172" s="18" t="n"/>
      <c r="I172" s="13" t="n"/>
      <c r="J172" s="13" t="n"/>
      <c r="K172" s="14" t="n"/>
      <c r="L172" s="13" t="n"/>
      <c r="M172" s="17">
        <f>IF(H172="S","Existe",IF(H172="N","Não existe",IF(H172="?","PIOR CASO: tratar como sem proteção","Não preenchido")))</f>
        <v/>
      </c>
      <c r="N172" s="17">
        <f>IF(H172="?","VISTORIAR",IF(H172="","A PREENCHER",""))</f>
        <v/>
      </c>
      <c r="O172" s="17" t="n">
        <v>15</v>
      </c>
    </row>
    <row r="173">
      <c r="A173" s="17" t="inlineStr">
        <is>
          <t>G22</t>
        </is>
      </c>
      <c r="B173" s="17" t="inlineStr">
        <is>
          <t>G. Usos especiais</t>
        </is>
      </c>
      <c r="C173" s="17" t="inlineStr">
        <is>
          <t>Foodtrucks, quiosques, feiras e eventos conectados provisoriamente</t>
        </is>
      </c>
      <c r="D173" s="17" t="inlineStr">
        <is>
          <t>Mangueiras de eventos ligadas ao hidrante ou ponto do condomínio</t>
        </is>
      </c>
      <c r="E173" s="17" t="inlineStr">
        <is>
          <t>Mangueira comum (não própria para alimento), sem retenção, mergulhada ou ligada ao tanque do veículo; ponto deixado em uso depois do evento</t>
        </is>
      </c>
      <c r="F173" s="17" t="inlineStr">
        <is>
          <t>1,3</t>
        </is>
      </c>
      <c r="G173" s="17" t="inlineStr">
        <is>
          <t>✔ RDC Anvisa 216/2004 (◻ aplicabilidade)</t>
        </is>
      </c>
      <c r="H173" s="18" t="n"/>
      <c r="I173" s="13" t="n"/>
      <c r="J173" s="13" t="n"/>
      <c r="K173" s="14" t="n"/>
      <c r="L173" s="13" t="n"/>
      <c r="M173" s="17">
        <f>IF(H173="S","Existe",IF(H173="N","Não existe",IF(H173="?","PIOR CASO: tratar como sem proteção","Não preenchido")))</f>
        <v/>
      </c>
      <c r="N173" s="17">
        <f>IF(H173="?","VISTORIAR",IF(H173="","A PREENCHER",""))</f>
        <v/>
      </c>
      <c r="O173" s="17" t="n">
        <v>16</v>
      </c>
    </row>
    <row r="174">
      <c r="A174" s="17" t="inlineStr">
        <is>
          <t>G23</t>
        </is>
      </c>
      <c r="B174" s="17" t="inlineStr">
        <is>
          <t>G. Usos especiais</t>
        </is>
      </c>
      <c r="C174" s="17" t="inlineStr">
        <is>
          <t>Clínicas, consultórios, estética e pet (autoclave, cadeira odontológica, equipamentos de diálise)</t>
        </is>
      </c>
      <c r="D174" s="17" t="inlineStr">
        <is>
          <t>Salas comerciais com equipamentos de saúde ligados à rede do condomínio</t>
        </is>
      </c>
      <c r="E174" s="17" t="inlineStr">
        <is>
          <t>Linhas de água de baixa vazão com biofilme; equipamento sem dispositivo antirretorno; descarte de químicos no esgoto</t>
        </is>
      </c>
      <c r="F174" s="17" t="inlineStr">
        <is>
          <t>1,3</t>
        </is>
      </c>
      <c r="G174" s="17" t="inlineStr">
        <is>
          <t>◻ regulamento sanitário do serviço de saúde (conferir)</t>
        </is>
      </c>
      <c r="H174" s="18" t="n"/>
      <c r="I174" s="13" t="n"/>
      <c r="J174" s="13" t="n"/>
      <c r="K174" s="14" t="n"/>
      <c r="L174" s="13" t="n"/>
      <c r="M174" s="17">
        <f>IF(H174="S","Existe",IF(H174="N","Não existe",IF(H174="?","PIOR CASO: tratar como sem proteção","Não preenchido")))</f>
        <v/>
      </c>
      <c r="N174" s="17">
        <f>IF(H174="?","VISTORIAR",IF(H174="","A PREENCHER",""))</f>
        <v/>
      </c>
      <c r="O174" s="17" t="n">
        <v>14</v>
      </c>
    </row>
    <row r="175">
      <c r="A175" s="17" t="inlineStr">
        <is>
          <t>H1</t>
        </is>
      </c>
      <c r="B175" s="17" t="inlineStr">
        <is>
          <t>H. Transversais</t>
        </is>
      </c>
      <c r="C175" s="17" t="inlineStr">
        <is>
          <t>Mapa de interconexões entre sistemas</t>
        </is>
      </c>
      <c r="D175" s="17" t="inlineStr"/>
      <c r="E175" s="17" t="inlineStr">
        <is>
          <t>Os dois episódios foram interconexões que ninguém sabia que existiam. Ver a seção "Mapa de interconexões críticas"</t>
        </is>
      </c>
      <c r="F175" s="17" t="inlineStr">
        <is>
          <t>1,T</t>
        </is>
      </c>
      <c r="G175" s="17" t="inlineStr">
        <is>
          <t>◻ —</t>
        </is>
      </c>
      <c r="H175" s="18" t="n"/>
      <c r="I175" s="13" t="n"/>
      <c r="J175" s="13" t="n"/>
      <c r="K175" s="14" t="n"/>
      <c r="L175" s="13" t="n"/>
      <c r="M175" s="17">
        <f>IF(H175="S","Existe",IF(H175="N","Não existe",IF(H175="?","PIOR CASO: tratar como sem proteção","Não preenchido")))</f>
        <v/>
      </c>
      <c r="N175" s="17">
        <f>IF(H175="?","VISTORIAR",IF(H175="","A PREENCHER",""))</f>
        <v/>
      </c>
      <c r="O175" s="17" t="n">
        <v>16</v>
      </c>
    </row>
    <row r="176">
      <c r="A176" s="17" t="inlineStr">
        <is>
          <t>H2</t>
        </is>
      </c>
      <c r="B176" s="17" t="inlineStr">
        <is>
          <t>H. Transversais</t>
        </is>
      </c>
      <c r="C176" s="17" t="inlineStr">
        <is>
          <t>Identificação e cor das tubulações</t>
        </is>
      </c>
      <c r="D176" s="17" t="inlineStr"/>
      <c r="E176" s="17" t="inlineStr">
        <is>
          <t>Sem isso o operador fecha o registro errado na emergência. A NBR 16783 trata da diferenciação do não potável</t>
        </is>
      </c>
      <c r="F176" s="17" t="inlineStr">
        <is>
          <t>1,T</t>
        </is>
      </c>
      <c r="G176" s="17" t="inlineStr">
        <is>
          <t>✔ NBR 16783:2019</t>
        </is>
      </c>
      <c r="H176" s="18" t="n"/>
      <c r="I176" s="13" t="n"/>
      <c r="J176" s="13" t="n"/>
      <c r="K176" s="14" t="n"/>
      <c r="L176" s="13" t="n"/>
      <c r="M176" s="17">
        <f>IF(H176="S","Existe",IF(H176="N","Não existe",IF(H176="?","PIOR CASO: tratar como sem proteção","Não preenchido")))</f>
        <v/>
      </c>
      <c r="N176" s="17">
        <f>IF(H176="?","VISTORIAR",IF(H176="","A PREENCHER",""))</f>
        <v/>
      </c>
      <c r="O176" s="17" t="n">
        <v>16</v>
      </c>
    </row>
    <row r="177">
      <c r="A177" s="17" t="inlineStr">
        <is>
          <t>H3</t>
        </is>
      </c>
      <c r="B177" s="17" t="inlineStr">
        <is>
          <t>H. Transversais</t>
        </is>
      </c>
      <c r="C177" s="17" t="inlineStr">
        <is>
          <t>Mapa e identificação de registros e válvulas de seccionamento</t>
        </is>
      </c>
      <c r="D177" s="17" t="inlineStr"/>
      <c r="E177" s="17" t="inlineStr">
        <is>
          <t>Na emergência, quem fecha o quê e onde; registro sem etiqueta ou escondido em forro</t>
        </is>
      </c>
      <c r="F177" s="17" t="inlineStr">
        <is>
          <t>1,2,4,6</t>
        </is>
      </c>
      <c r="G177" s="17" t="inlineStr">
        <is>
          <t>◻ —</t>
        </is>
      </c>
      <c r="H177" s="18" t="n"/>
      <c r="I177" s="13" t="n"/>
      <c r="J177" s="13" t="n"/>
      <c r="K177" s="14" t="n"/>
      <c r="L177" s="13" t="n"/>
      <c r="M177" s="17">
        <f>IF(H177="S","Existe",IF(H177="N","Não existe",IF(H177="?","PIOR CASO: tratar como sem proteção","Não preenchido")))</f>
        <v/>
      </c>
      <c r="N177" s="17">
        <f>IF(H177="?","VISTORIAR",IF(H177="","A PREENCHER",""))</f>
        <v/>
      </c>
      <c r="O177" s="17" t="n">
        <v>16</v>
      </c>
    </row>
    <row r="178">
      <c r="A178" s="17" t="inlineStr">
        <is>
          <t>H4</t>
        </is>
      </c>
      <c r="B178" s="17" t="inlineStr">
        <is>
          <t>H. Transversais</t>
        </is>
      </c>
      <c r="C178" s="17" t="inlineStr">
        <is>
          <t>Medição, sensores e telemetria</t>
        </is>
      </c>
      <c r="D178" s="17" t="inlineStr"/>
      <c r="E178" s="17" t="inlineStr">
        <is>
          <t>Hidrômetro, nível, pressão, cloro, condutividade: o que avisa antes do ocupante</t>
        </is>
      </c>
      <c r="F178" s="17" t="inlineStr">
        <is>
          <t>2,3,4,T</t>
        </is>
      </c>
      <c r="G178" s="17" t="inlineStr">
        <is>
          <t>◻ —</t>
        </is>
      </c>
      <c r="H178" s="18" t="n"/>
      <c r="I178" s="13" t="n"/>
      <c r="J178" s="13" t="n"/>
      <c r="K178" s="14" t="n"/>
      <c r="L178" s="13" t="n"/>
      <c r="M178" s="17">
        <f>IF(H178="S","Existe",IF(H178="N","Não existe",IF(H178="?","PIOR CASO: tratar como sem proteção","Não preenchido")))</f>
        <v/>
      </c>
      <c r="N178" s="17">
        <f>IF(H178="?","VISTORIAR",IF(H178="","A PREENCHER",""))</f>
        <v/>
      </c>
      <c r="O178" s="17" t="n">
        <v>16</v>
      </c>
    </row>
    <row r="179">
      <c r="A179" s="17" t="inlineStr">
        <is>
          <t>H5</t>
        </is>
      </c>
      <c r="B179" s="17" t="inlineStr">
        <is>
          <t>H. Transversais</t>
        </is>
      </c>
      <c r="C179" s="17" t="inlineStr">
        <is>
          <t>Energia de emergência</t>
        </is>
      </c>
      <c r="D179" s="17" t="inlineStr"/>
      <c r="E179" s="17" t="inlineStr">
        <is>
          <t>Gerador ou no-break para recalque, bombas de incêndio, bombas de drenagem</t>
        </is>
      </c>
      <c r="F179" s="17" t="inlineStr">
        <is>
          <t>2,4,5,6</t>
        </is>
      </c>
      <c r="G179" s="17" t="inlineStr">
        <is>
          <t>◻ —</t>
        </is>
      </c>
      <c r="H179" s="18" t="n"/>
      <c r="I179" s="13" t="n"/>
      <c r="J179" s="13" t="n"/>
      <c r="K179" s="14" t="n"/>
      <c r="L179" s="13" t="n"/>
      <c r="M179" s="17">
        <f>IF(H179="S","Existe",IF(H179="N","Não existe",IF(H179="?","PIOR CASO: tratar como sem proteção","Não preenchido")))</f>
        <v/>
      </c>
      <c r="N179" s="17">
        <f>IF(H179="?","VISTORIAR",IF(H179="","A PREENCHER",""))</f>
        <v/>
      </c>
      <c r="O179" s="17" t="n">
        <v>16</v>
      </c>
    </row>
    <row r="180">
      <c r="A180" s="17" t="inlineStr">
        <is>
          <t>H6</t>
        </is>
      </c>
      <c r="B180" s="17" t="inlineStr">
        <is>
          <t>H. Transversais</t>
        </is>
      </c>
      <c r="C180" s="17" t="inlineStr">
        <is>
          <t>Supervisório / BMS / automação</t>
        </is>
      </c>
      <c r="D180" s="17" t="inlineStr"/>
      <c r="E180" s="17" t="inlineStr">
        <is>
          <t>Quem vê o alarme e quem responde; alarme sem destinatário</t>
        </is>
      </c>
      <c r="F180" s="17" t="inlineStr">
        <is>
          <t>5,8,T</t>
        </is>
      </c>
      <c r="G180" s="17" t="inlineStr">
        <is>
          <t>◻ —</t>
        </is>
      </c>
      <c r="H180" s="18" t="n"/>
      <c r="I180" s="13" t="n"/>
      <c r="J180" s="13" t="n"/>
      <c r="K180" s="14" t="n"/>
      <c r="L180" s="13" t="n"/>
      <c r="M180" s="17">
        <f>IF(H180="S","Existe",IF(H180="N","Não existe",IF(H180="?","PIOR CASO: tratar como sem proteção","Não preenchido")))</f>
        <v/>
      </c>
      <c r="N180" s="17">
        <f>IF(H180="?","VISTORIAR",IF(H180="","A PREENCHER",""))</f>
        <v/>
      </c>
      <c r="O180" s="17" t="n">
        <v>16</v>
      </c>
    </row>
    <row r="181">
      <c r="A181" s="17" t="inlineStr">
        <is>
          <t>H7</t>
        </is>
      </c>
      <c r="B181" s="17" t="inlineStr">
        <is>
          <t>H. Transversais</t>
        </is>
      </c>
      <c r="C181" s="17" t="inlineStr">
        <is>
          <t>Documentação técnica</t>
        </is>
      </c>
      <c r="D181" s="17" t="inlineStr"/>
      <c r="E181" s="17" t="inlineStr">
        <is>
          <t>As-built, memoriais, laudos, ART, PMOC, certificado de limpeza de reservatório</t>
        </is>
      </c>
      <c r="F181" s="17" t="inlineStr">
        <is>
          <t>1,3,T</t>
        </is>
      </c>
      <c r="G181" s="17" t="inlineStr">
        <is>
          <t>✔ Lei 13.589/2018 (PMOC) · ✔ NBR 5674 (gestão de manutenção; ◻ edição vigente: há 2012 e 2024 em fontes)</t>
        </is>
      </c>
      <c r="H181" s="18" t="n"/>
      <c r="I181" s="13" t="n"/>
      <c r="J181" s="13" t="n"/>
      <c r="K181" s="14" t="n"/>
      <c r="L181" s="13" t="n"/>
      <c r="M181" s="17">
        <f>IF(H181="S","Existe",IF(H181="N","Não existe",IF(H181="?","PIOR CASO: tratar como sem proteção","Não preenchido")))</f>
        <v/>
      </c>
      <c r="N181" s="17">
        <f>IF(H181="?","VISTORIAR",IF(H181="","A PREENCHER",""))</f>
        <v/>
      </c>
      <c r="O181" s="17" t="n">
        <v>16</v>
      </c>
    </row>
    <row r="182">
      <c r="A182" s="17" t="inlineStr">
        <is>
          <t>H8</t>
        </is>
      </c>
      <c r="B182" s="17" t="inlineStr">
        <is>
          <t>H. Transversais</t>
        </is>
      </c>
      <c r="C182" s="17" t="inlineStr">
        <is>
          <t>Responsáveis técnicos e contratos</t>
        </is>
      </c>
      <c r="D182" s="17" t="inlineStr"/>
      <c r="E182" s="17" t="inlineStr">
        <is>
          <t>Quem opera, quem mantém, quem atende na emergência</t>
        </is>
      </c>
      <c r="F182" s="17" t="inlineStr">
        <is>
          <t>T</t>
        </is>
      </c>
      <c r="G182" s="17" t="inlineStr">
        <is>
          <t>◻ —</t>
        </is>
      </c>
      <c r="H182" s="18" t="n"/>
      <c r="I182" s="13" t="n"/>
      <c r="J182" s="13" t="n"/>
      <c r="K182" s="14" t="n"/>
      <c r="L182" s="13" t="n"/>
      <c r="M182" s="17">
        <f>IF(H182="S","Existe",IF(H182="N","Não existe",IF(H182="?","PIOR CASO: tratar como sem proteção","Não preenchido")))</f>
        <v/>
      </c>
      <c r="N182" s="17">
        <f>IF(H182="?","VISTORIAR",IF(H182="","A PREENCHER",""))</f>
        <v/>
      </c>
      <c r="O182" s="17" t="n">
        <v>16</v>
      </c>
    </row>
    <row r="183">
      <c r="A183" s="17" t="inlineStr">
        <is>
          <t>H9</t>
        </is>
      </c>
      <c r="B183" s="17" t="inlineStr">
        <is>
          <t>H. Transversais</t>
        </is>
      </c>
      <c r="C183" s="17" t="inlineStr">
        <is>
          <t>Comunicação de crise</t>
        </is>
      </c>
      <c r="D183" s="17" t="inlineStr"/>
      <c r="E183" s="17" t="inlineStr">
        <is>
          <t>Quem avisa ocupantes, locatários, proprietário, vigilância sanitária, concessionária</t>
        </is>
      </c>
      <c r="F183" s="17" t="inlineStr">
        <is>
          <t>T</t>
        </is>
      </c>
      <c r="G183" s="17" t="inlineStr">
        <is>
          <t>◻ —</t>
        </is>
      </c>
      <c r="H183" s="18" t="n"/>
      <c r="I183" s="13" t="n"/>
      <c r="J183" s="13" t="n"/>
      <c r="K183" s="14" t="n"/>
      <c r="L183" s="13" t="n"/>
      <c r="M183" s="17">
        <f>IF(H183="S","Existe",IF(H183="N","Não existe",IF(H183="?","PIOR CASO: tratar como sem proteção","Não preenchido")))</f>
        <v/>
      </c>
      <c r="N183" s="17">
        <f>IF(H183="?","VISTORIAR",IF(H183="","A PREENCHER",""))</f>
        <v/>
      </c>
      <c r="O183" s="17" t="n">
        <v>16</v>
      </c>
    </row>
    <row r="184">
      <c r="A184" s="17" t="inlineStr">
        <is>
          <t>H10</t>
        </is>
      </c>
      <c r="B184" s="17" t="inlineStr">
        <is>
          <t>H. Transversais</t>
        </is>
      </c>
      <c r="C184" s="17" t="inlineStr">
        <is>
          <t>Segurança de acesso</t>
        </is>
      </c>
      <c r="D184" s="17" t="inlineStr"/>
      <c r="E184" s="17" t="inlineStr">
        <is>
          <t>Espaço confinado (reservatórios), trabalho em altura (cobertura), produto químico</t>
        </is>
      </c>
      <c r="F184" s="17" t="inlineStr">
        <is>
          <t>9,T</t>
        </is>
      </c>
      <c r="G184" s="17" t="inlineStr">
        <is>
          <t>✔ NR-33 · ✔ NR-35</t>
        </is>
      </c>
      <c r="H184" s="18" t="n"/>
      <c r="I184" s="13" t="n"/>
      <c r="J184" s="13" t="n"/>
      <c r="K184" s="14" t="n"/>
      <c r="L184" s="13" t="n"/>
      <c r="M184" s="17">
        <f>IF(H184="S","Existe",IF(H184="N","Não existe",IF(H184="?","PIOR CASO: tratar como sem proteção","Não preenchido")))</f>
        <v/>
      </c>
      <c r="N184" s="17">
        <f>IF(H184="?","VISTORIAR",IF(H184="","A PREENCHER",""))</f>
        <v/>
      </c>
      <c r="O184" s="17" t="n">
        <v>16</v>
      </c>
    </row>
    <row r="185">
      <c r="A185" s="17" t="inlineStr">
        <is>
          <t>H11</t>
        </is>
      </c>
      <c r="B185" s="17" t="inlineStr">
        <is>
          <t>H. Transversais</t>
        </is>
      </c>
      <c r="C185" s="17" t="inlineStr">
        <is>
          <t>Válvulas de transferência e interligações previstas entre sistemas</t>
        </is>
      </c>
      <c r="D185" s="17" t="inlineStr"/>
      <c r="E185" s="17" t="inlineStr">
        <is>
          <t>Registro que liga um sistema a outro "para emergência" (RTI ↔ consumo, célula ↔ célula, prédio ↔ prédio, potável ↔ reúso). Previsto, mas sem lacre, sem registro de abertura e sem mapa</t>
        </is>
      </c>
      <c r="F185" s="17" t="inlineStr">
        <is>
          <t>1,2,6</t>
        </is>
      </c>
      <c r="G185" s="17" t="inlineStr">
        <is>
          <t>◻ —</t>
        </is>
      </c>
      <c r="H185" s="18" t="n"/>
      <c r="I185" s="13" t="n"/>
      <c r="J185" s="13" t="n"/>
      <c r="K185" s="14" t="n"/>
      <c r="L185" s="13" t="n"/>
      <c r="M185" s="17">
        <f>IF(H185="S","Existe",IF(H185="N","Não existe",IF(H185="?","PIOR CASO: tratar como sem proteção","Não preenchido")))</f>
        <v/>
      </c>
      <c r="N185" s="17">
        <f>IF(H185="?","VISTORIAR",IF(H185="","A PREENCHER",""))</f>
        <v/>
      </c>
      <c r="O185" s="17" t="n">
        <v>6</v>
      </c>
    </row>
    <row r="186">
      <c r="A186" s="17" t="inlineStr">
        <is>
          <t>H12</t>
        </is>
      </c>
      <c r="B186" s="17" t="inlineStr">
        <is>
          <t>H. Transversais</t>
        </is>
      </c>
      <c r="C186" s="17" t="inlineStr">
        <is>
          <t>By-pass improvisado e "jumper"</t>
        </is>
      </c>
      <c r="D186" s="17" t="inlineStr"/>
      <c r="E186" s="17" t="inlineStr">
        <is>
          <t>Tubo, flexível ou mangueira instalado em intervenção e que ficou (a gambiarra que virou definitiva). Ninguém desenhou, ninguém lembra</t>
        </is>
      </c>
      <c r="F186" s="17" t="inlineStr">
        <is>
          <t>1,2</t>
        </is>
      </c>
      <c r="G186" s="17" t="inlineStr">
        <is>
          <t>◻ —</t>
        </is>
      </c>
      <c r="H186" s="18" t="n"/>
      <c r="I186" s="13" t="n"/>
      <c r="J186" s="13" t="n"/>
      <c r="K186" s="14" t="n"/>
      <c r="L186" s="13" t="n"/>
      <c r="M186" s="17">
        <f>IF(H186="S","Existe",IF(H186="N","Não existe",IF(H186="?","PIOR CASO: tratar como sem proteção","Não preenchido")))</f>
        <v/>
      </c>
      <c r="N186" s="17">
        <f>IF(H186="?","VISTORIAR",IF(H186="","A PREENCHER",""))</f>
        <v/>
      </c>
      <c r="O186" s="17" t="n">
        <v>6</v>
      </c>
    </row>
    <row r="187">
      <c r="A187" s="17" t="inlineStr">
        <is>
          <t>H13</t>
        </is>
      </c>
      <c r="B187" s="17" t="inlineStr">
        <is>
          <t>H. Transversais</t>
        </is>
      </c>
      <c r="C187" s="17" t="inlineStr">
        <is>
          <t>Mangueiras e flexíveis deixados em ponto fixo (engate rápido)</t>
        </is>
      </c>
      <c r="D187" s="17" t="inlineStr"/>
      <c r="E187" s="17" t="inlineStr">
        <is>
          <t>Mangueira de torneira conectada a circuito, tanque ou bomba depois do uso. Foi o mecanismo do episódio 2</t>
        </is>
      </c>
      <c r="F187" s="17" t="inlineStr">
        <is>
          <t>1</t>
        </is>
      </c>
      <c r="G187" s="17" t="inlineStr">
        <is>
          <t>✔ NBR 5626:2020 (proteção contra refluxo; cláusula a ler)</t>
        </is>
      </c>
      <c r="H187" s="18" t="n"/>
      <c r="I187" s="13" t="n"/>
      <c r="J187" s="13" t="n"/>
      <c r="K187" s="14" t="n"/>
      <c r="L187" s="13" t="n"/>
      <c r="M187" s="17">
        <f>IF(H187="S","Existe",IF(H187="N","Não existe",IF(H187="?","PIOR CASO: tratar como sem proteção","Não preenchido")))</f>
        <v/>
      </c>
      <c r="N187" s="17">
        <f>IF(H187="?","VISTORIAR",IF(H187="","A PREENCHER",""))</f>
        <v/>
      </c>
      <c r="O187" s="17" t="n">
        <v>6</v>
      </c>
    </row>
    <row r="188">
      <c r="A188" s="17" t="inlineStr">
        <is>
          <t>H14</t>
        </is>
      </c>
      <c r="B188" s="17" t="inlineStr">
        <is>
          <t>H. Transversais</t>
        </is>
      </c>
      <c r="C188" s="17" t="inlineStr">
        <is>
          <t>Conexão de reposição manual (engate, registro, funil)</t>
        </is>
      </c>
      <c r="D188" s="17" t="inlineStr"/>
      <c r="E188" s="17" t="inlineStr">
        <is>
          <t>Ponto de ligação criado para repor o circuito quando o automático falha; sem regra de desconexão nem registro de quem repôs</t>
        </is>
      </c>
      <c r="F188" s="17" t="inlineStr">
        <is>
          <t>1,2</t>
        </is>
      </c>
      <c r="G188" s="17" t="inlineStr">
        <is>
          <t>✔ NBR 5626:2020 (proteção contra refluxo; cláusula a ler)</t>
        </is>
      </c>
      <c r="H188" s="18" t="n"/>
      <c r="I188" s="13" t="n"/>
      <c r="J188" s="13" t="n"/>
      <c r="K188" s="14" t="n"/>
      <c r="L188" s="13" t="n"/>
      <c r="M188" s="17">
        <f>IF(H188="S","Existe",IF(H188="N","Não existe",IF(H188="?","PIOR CASO: tratar como sem proteção","Não preenchido")))</f>
        <v/>
      </c>
      <c r="N188" s="17">
        <f>IF(H188="?","VISTORIAR",IF(H188="","A PREENCHER",""))</f>
        <v/>
      </c>
      <c r="O188" s="17" t="n">
        <v>6</v>
      </c>
    </row>
    <row r="189">
      <c r="A189" s="17" t="inlineStr">
        <is>
          <t>H15</t>
        </is>
      </c>
      <c r="B189" s="17" t="inlineStr">
        <is>
          <t>H. Transversais</t>
        </is>
      </c>
      <c r="C189" s="17" t="inlineStr">
        <is>
          <t>Trechos desativados, ramais cegos e tubulações órfãs</t>
        </is>
      </c>
      <c r="D189" s="17" t="inlineStr"/>
      <c r="E189" s="17" t="inlineStr">
        <is>
          <t>Ramais de lojas e andares desocupados, "rabos" de reforma, prumadas sem uso. Estagnam e podem ainda estar ligados</t>
        </is>
      </c>
      <c r="F189" s="17" t="inlineStr">
        <is>
          <t>1,3</t>
        </is>
      </c>
      <c r="G189" s="17" t="inlineStr">
        <is>
          <t>✔ NBR 5626:2020 (geral)</t>
        </is>
      </c>
      <c r="H189" s="18" t="n"/>
      <c r="I189" s="13" t="n"/>
      <c r="J189" s="13" t="n"/>
      <c r="K189" s="14" t="n"/>
      <c r="L189" s="13" t="n"/>
      <c r="M189" s="17">
        <f>IF(H189="S","Existe",IF(H189="N","Não existe",IF(H189="?","PIOR CASO: tratar como sem proteção","Não preenchido")))</f>
        <v/>
      </c>
      <c r="N189" s="17">
        <f>IF(H189="?","VISTORIAR",IF(H189="","A PREENCHER",""))</f>
        <v/>
      </c>
      <c r="O189" s="17" t="n">
        <v>6</v>
      </c>
    </row>
    <row r="190">
      <c r="A190" s="17" t="inlineStr">
        <is>
          <t>H16</t>
        </is>
      </c>
      <c r="B190" s="17" t="inlineStr">
        <is>
          <t>H. Transversais</t>
        </is>
      </c>
      <c r="C190" s="17" t="inlineStr">
        <is>
          <t>Reformas e obras de locatários sem atualização do as-built</t>
        </is>
      </c>
      <c r="D190" s="17" t="inlineStr"/>
      <c r="E190" s="17" t="inlineStr">
        <is>
          <t>O prédio muda e o desenho não; novo ponto e novo equipamento entram sem avaliação de refluxo</t>
        </is>
      </c>
      <c r="F190" s="17" t="inlineStr">
        <is>
          <t>1,3,T</t>
        </is>
      </c>
      <c r="G190" s="17" t="inlineStr">
        <is>
          <t>◻ —</t>
        </is>
      </c>
      <c r="H190" s="18" t="n"/>
      <c r="I190" s="13" t="n"/>
      <c r="J190" s="13" t="n"/>
      <c r="K190" s="14" t="n"/>
      <c r="L190" s="13" t="n"/>
      <c r="M190" s="17">
        <f>IF(H190="S","Existe",IF(H190="N","Não existe",IF(H190="?","PIOR CASO: tratar como sem proteção","Não preenchido")))</f>
        <v/>
      </c>
      <c r="N190" s="17">
        <f>IF(H190="?","VISTORIAR",IF(H190="","A PREENCHER",""))</f>
        <v/>
      </c>
      <c r="O190" s="17" t="n">
        <v>16</v>
      </c>
    </row>
    <row r="191">
      <c r="A191" s="17" t="inlineStr">
        <is>
          <t>H17</t>
        </is>
      </c>
      <c r="B191" s="17" t="inlineStr">
        <is>
          <t>H. Transversais</t>
        </is>
      </c>
      <c r="C191" s="17" t="inlineStr">
        <is>
          <t>Teste periódico e cadastro dos dispositivos antirretorno</t>
        </is>
      </c>
      <c r="D191" s="17" t="inlineStr"/>
      <c r="E191" s="17" t="inlineStr">
        <is>
          <t>Lista de BPV, retenções e quebra-vácuos com localização, data do último teste e responsável</t>
        </is>
      </c>
      <c r="F191" s="17" t="inlineStr">
        <is>
          <t>1,7</t>
        </is>
      </c>
      <c r="G191" s="17" t="inlineStr">
        <is>
          <t>✔ NBR 5626:2020 (Anexo A trata de ensaios de proteção contra refluxo, segundo resumo secundário: ◻ conferir)</t>
        </is>
      </c>
      <c r="H191" s="18" t="n"/>
      <c r="I191" s="13" t="n"/>
      <c r="J191" s="13" t="n"/>
      <c r="K191" s="14" t="n"/>
      <c r="L191" s="13" t="n"/>
      <c r="M191" s="17">
        <f>IF(H191="S","Existe",IF(H191="N","Não existe",IF(H191="?","PIOR CASO: tratar como sem proteção","Não preenchido")))</f>
        <v/>
      </c>
      <c r="N191" s="17">
        <f>IF(H191="?","VISTORIAR",IF(H191="","A PREENCHER",""))</f>
        <v/>
      </c>
      <c r="O191" s="17" t="n">
        <v>6</v>
      </c>
    </row>
    <row r="192">
      <c r="A192" s="17" t="inlineStr">
        <is>
          <t>H18</t>
        </is>
      </c>
      <c r="B192" s="17" t="inlineStr">
        <is>
          <t>H. Transversais</t>
        </is>
      </c>
      <c r="C192" s="17" t="inlineStr">
        <is>
          <t>Pontos sentinela e traçador (corante)</t>
        </is>
      </c>
      <c r="D192" s="17" t="inlineStr"/>
      <c r="E192" s="17" t="inlineStr">
        <is>
          <t>Torneira sentinela por prumada e uso de corante já existente na água gelada para denunciar mistura</t>
        </is>
      </c>
      <c r="F192" s="17" t="inlineStr">
        <is>
          <t>1,3,T</t>
        </is>
      </c>
      <c r="G192" s="17" t="inlineStr">
        <is>
          <t>◻ —</t>
        </is>
      </c>
      <c r="H192" s="18" t="n"/>
      <c r="I192" s="13" t="n"/>
      <c r="J192" s="13" t="n"/>
      <c r="K192" s="14" t="n"/>
      <c r="L192" s="13" t="n"/>
      <c r="M192" s="17">
        <f>IF(H192="S","Existe",IF(H192="N","Não existe",IF(H192="?","PIOR CASO: tratar como sem proteção","Não preenchido")))</f>
        <v/>
      </c>
      <c r="N192" s="17">
        <f>IF(H192="?","VISTORIAR",IF(H192="","A PREENCHER",""))</f>
        <v/>
      </c>
      <c r="O192" s="17" t="n">
        <v>16</v>
      </c>
    </row>
    <row r="193">
      <c r="A193" s="17" t="inlineStr">
        <is>
          <t>H19</t>
        </is>
      </c>
      <c r="B193" s="17" t="inlineStr">
        <is>
          <t>H. Transversais</t>
        </is>
      </c>
      <c r="C193" s="17" t="inlineStr">
        <is>
          <t>Balanço hídrico e indicador de consumo e reposição</t>
        </is>
      </c>
      <c r="D193" s="17" t="inlineStr"/>
      <c r="E193" s="17" t="inlineStr">
        <is>
          <t>Litros por dia da reposição de circuitos, consumo noturno do prédio; aumento indica vazamento antes da improvisação</t>
        </is>
      </c>
      <c r="F193" s="17" t="inlineStr">
        <is>
          <t>1,2,4</t>
        </is>
      </c>
      <c r="G193" s="17" t="inlineStr">
        <is>
          <t>◻ —</t>
        </is>
      </c>
      <c r="H193" s="18" t="n"/>
      <c r="I193" s="13" t="n"/>
      <c r="J193" s="13" t="n"/>
      <c r="K193" s="14" t="n"/>
      <c r="L193" s="13" t="n"/>
      <c r="M193" s="17">
        <f>IF(H193="S","Existe",IF(H193="N","Não existe",IF(H193="?","PIOR CASO: tratar como sem proteção","Não preenchido")))</f>
        <v/>
      </c>
      <c r="N193" s="17">
        <f>IF(H193="?","VISTORIAR",IF(H193="","A PREENCHER",""))</f>
        <v/>
      </c>
      <c r="O193" s="17" t="n">
        <v>16</v>
      </c>
    </row>
    <row r="194">
      <c r="A194" s="17" t="inlineStr">
        <is>
          <t>H20</t>
        </is>
      </c>
      <c r="B194" s="17" t="inlineStr">
        <is>
          <t>H. Transversais</t>
        </is>
      </c>
      <c r="C194" s="17" t="inlineStr">
        <is>
          <t>Treinamento da equipe, simulados e registro de intervenções</t>
        </is>
      </c>
      <c r="D194" s="17" t="inlineStr"/>
      <c r="E194" s="17" t="inlineStr">
        <is>
          <t>Equipe de ronda sabe o procedimento? Passagem de turno registra reposição, by-pass e válvula manobrada?</t>
        </is>
      </c>
      <c r="F194" s="17" t="inlineStr">
        <is>
          <t>1,T</t>
        </is>
      </c>
      <c r="G194" s="17" t="inlineStr">
        <is>
          <t>◻ —</t>
        </is>
      </c>
      <c r="H194" s="18" t="n"/>
      <c r="I194" s="13" t="n"/>
      <c r="J194" s="13" t="n"/>
      <c r="K194" s="14" t="n"/>
      <c r="L194" s="13" t="n"/>
      <c r="M194" s="17">
        <f>IF(H194="S","Existe",IF(H194="N","Não existe",IF(H194="?","PIOR CASO: tratar como sem proteção","Não preenchido")))</f>
        <v/>
      </c>
      <c r="N194" s="17">
        <f>IF(H194="?","VISTORIAR",IF(H194="","A PREENCHER",""))</f>
        <v/>
      </c>
      <c r="O194" s="17" t="n">
        <v>16</v>
      </c>
    </row>
    <row r="195">
      <c r="A195" s="17" t="inlineStr">
        <is>
          <t>H21</t>
        </is>
      </c>
      <c r="B195" s="17" t="inlineStr">
        <is>
          <t>H. Transversais</t>
        </is>
      </c>
      <c r="C195" s="17" t="inlineStr">
        <is>
          <t>Contratos de emergência</t>
        </is>
      </c>
      <c r="D195" s="17" t="inlineStr"/>
      <c r="E195" s="17" t="inlineStr">
        <is>
          <t>Caminhão-pipa, laboratório acreditado, hidrojato, limpadora de reservatório, serviço de bombeamento, fornecedor do tratamento químico</t>
        </is>
      </c>
      <c r="F195" s="17" t="inlineStr">
        <is>
          <t>2,3,9,T</t>
        </is>
      </c>
      <c r="G195" s="17" t="inlineStr">
        <is>
          <t>◻ —</t>
        </is>
      </c>
      <c r="H195" s="18" t="n"/>
      <c r="I195" s="13" t="n"/>
      <c r="J195" s="13" t="n"/>
      <c r="K195" s="14" t="n"/>
      <c r="L195" s="13" t="n"/>
      <c r="M195" s="17">
        <f>IF(H195="S","Existe",IF(H195="N","Não existe",IF(H195="?","PIOR CASO: tratar como sem proteção","Não preenchido")))</f>
        <v/>
      </c>
      <c r="N195" s="17">
        <f>IF(H195="?","VISTORIAR",IF(H195="","A PREENCHER",""))</f>
        <v/>
      </c>
      <c r="O195" s="17" t="n">
        <v>16</v>
      </c>
    </row>
    <row r="196">
      <c r="A196" s="17" t="inlineStr">
        <is>
          <t>H22</t>
        </is>
      </c>
      <c r="B196" s="17" t="inlineStr">
        <is>
          <t>H. Transversais</t>
        </is>
      </c>
      <c r="C196" s="17" t="inlineStr">
        <is>
          <t>Relatório mensal e checklist dos fornecedores (via administradora)</t>
        </is>
      </c>
      <c r="D196" s="17" t="inlineStr"/>
      <c r="E196" s="17" t="inlineStr">
        <is>
          <t>Relatório que já existe + checklist padrão do projeto; cadência semanal pedida nos itens críticos</t>
        </is>
      </c>
      <c r="F196" s="17" t="inlineStr">
        <is>
          <t>3,8,T</t>
        </is>
      </c>
      <c r="G196" s="17" t="inlineStr">
        <is>
          <t>◻ —</t>
        </is>
      </c>
      <c r="H196" s="18" t="n"/>
      <c r="I196" s="13" t="n"/>
      <c r="J196" s="13" t="n"/>
      <c r="K196" s="14" t="n"/>
      <c r="L196" s="13" t="n"/>
      <c r="M196" s="17">
        <f>IF(H196="S","Existe",IF(H196="N","Não existe",IF(H196="?","PIOR CASO: tratar como sem proteção","Não preenchido")))</f>
        <v/>
      </c>
      <c r="N196" s="17">
        <f>IF(H196="?","VISTORIAR",IF(H196="","A PREENCHER",""))</f>
        <v/>
      </c>
      <c r="O196" s="17" t="n">
        <v>16</v>
      </c>
    </row>
  </sheetData>
  <autoFilter ref="A1:O196"/>
  <conditionalFormatting sqref="H2:H196">
    <cfRule type="cellIs" priority="1" operator="equal" dxfId="1">
      <formula>"?"</formula>
    </cfRule>
  </conditionalFormatting>
  <conditionalFormatting sqref="N2:N196">
    <cfRule type="expression" priority="2" dxfId="0">
      <formula>N2="VISTORIAR"</formula>
    </cfRule>
    <cfRule type="expression" priority="3" dxfId="3">
      <formula>N2="A PREENCHER"</formula>
    </cfRule>
  </conditionalFormatting>
  <dataValidations count="1">
    <dataValidation sqref="H2:H196" showDropDown="0" showInputMessage="0" showErrorMessage="1" allowBlank="1" errorTitle="Valor inválido" error="Use S, N ou ?" type="list">
      <formula1>"S,N,?"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2A44"/>
    <outlinePr summaryBelow="1" summaryRight="1"/>
    <pageSetUpPr/>
  </sheetPr>
  <dimension ref="A1:M199"/>
  <sheetViews>
    <sheetView zoomScale="10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0" customWidth="1" min="2" max="2"/>
    <col width="10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 ht="32" customHeight="1">
      <c r="A1" s="15" t="inlineStr">
        <is>
          <t>ID</t>
        </is>
      </c>
      <c r="B1" s="15" t="inlineStr">
        <is>
          <t>Sistema</t>
        </is>
      </c>
      <c r="C1" s="15" t="inlineStr">
        <is>
          <t>Existe?</t>
        </is>
      </c>
      <c r="D1" s="15" t="inlineStr">
        <is>
          <t>1</t>
        </is>
      </c>
      <c r="E1" s="15" t="inlineStr">
        <is>
          <t>2</t>
        </is>
      </c>
      <c r="F1" s="15" t="inlineStr">
        <is>
          <t>3</t>
        </is>
      </c>
      <c r="G1" s="15" t="inlineStr">
        <is>
          <t>4</t>
        </is>
      </c>
      <c r="H1" s="15" t="inlineStr">
        <is>
          <t>5</t>
        </is>
      </c>
      <c r="I1" s="15" t="inlineStr">
        <is>
          <t>6</t>
        </is>
      </c>
      <c r="J1" s="15" t="inlineStr">
        <is>
          <t>7</t>
        </is>
      </c>
      <c r="K1" s="15" t="inlineStr">
        <is>
          <t>8</t>
        </is>
      </c>
      <c r="L1" s="15" t="inlineStr">
        <is>
          <t>9</t>
        </is>
      </c>
      <c r="M1" s="15" t="inlineStr">
        <is>
          <t>T</t>
        </is>
      </c>
    </row>
    <row r="2">
      <c r="A2" s="17">
        <f>Catalogo!A2</f>
        <v/>
      </c>
      <c r="B2" s="17">
        <f>Catalogo!C2</f>
        <v/>
      </c>
      <c r="C2" s="19">
        <f>IF(Catalogo!H2="","(vazio)",Catalogo!H2)</f>
        <v/>
      </c>
      <c r="D2" s="19">
        <f>IF(AND(ISNUMBER(SEARCH(","&amp;D$1&amp;",",","&amp;SUBSTITUTE(Catalogo!$F2," ","")&amp;",")),Catalogo!$H2&lt;&gt;"N"),"●","")</f>
        <v/>
      </c>
      <c r="E2" s="19">
        <f>IF(AND(ISNUMBER(SEARCH(","&amp;E$1&amp;",",","&amp;SUBSTITUTE(Catalogo!$F2," ","")&amp;",")),Catalogo!$H2&lt;&gt;"N"),"●","")</f>
        <v/>
      </c>
      <c r="F2" s="19">
        <f>IF(AND(ISNUMBER(SEARCH(","&amp;F$1&amp;",",","&amp;SUBSTITUTE(Catalogo!$F2," ","")&amp;",")),Catalogo!$H2&lt;&gt;"N"),"●","")</f>
        <v/>
      </c>
      <c r="G2" s="19">
        <f>IF(AND(ISNUMBER(SEARCH(","&amp;G$1&amp;",",","&amp;SUBSTITUTE(Catalogo!$F2," ","")&amp;",")),Catalogo!$H2&lt;&gt;"N"),"●","")</f>
        <v/>
      </c>
      <c r="H2" s="19">
        <f>IF(AND(ISNUMBER(SEARCH(","&amp;H$1&amp;",",","&amp;SUBSTITUTE(Catalogo!$F2," ","")&amp;",")),Catalogo!$H2&lt;&gt;"N"),"●","")</f>
        <v/>
      </c>
      <c r="I2" s="19">
        <f>IF(AND(ISNUMBER(SEARCH(","&amp;I$1&amp;",",","&amp;SUBSTITUTE(Catalogo!$F2," ","")&amp;",")),Catalogo!$H2&lt;&gt;"N"),"●","")</f>
        <v/>
      </c>
      <c r="J2" s="19">
        <f>IF(AND(ISNUMBER(SEARCH(","&amp;J$1&amp;",",","&amp;SUBSTITUTE(Catalogo!$F2," ","")&amp;",")),Catalogo!$H2&lt;&gt;"N"),"●","")</f>
        <v/>
      </c>
      <c r="K2" s="19">
        <f>IF(AND(ISNUMBER(SEARCH(","&amp;K$1&amp;",",","&amp;SUBSTITUTE(Catalogo!$F2," ","")&amp;",")),Catalogo!$H2&lt;&gt;"N"),"●","")</f>
        <v/>
      </c>
      <c r="L2" s="19">
        <f>IF(AND(ISNUMBER(SEARCH(","&amp;L$1&amp;",",","&amp;SUBSTITUTE(Catalogo!$F2," ","")&amp;",")),Catalogo!$H2&lt;&gt;"N"),"●","")</f>
        <v/>
      </c>
      <c r="M2" s="19">
        <f>IF(AND(ISNUMBER(SEARCH(","&amp;M$1&amp;",",","&amp;SUBSTITUTE(Catalogo!$F2," ","")&amp;",")),Catalogo!$H2&lt;&gt;"N"),"●","")</f>
        <v/>
      </c>
    </row>
    <row r="3">
      <c r="A3" s="17">
        <f>Catalogo!A3</f>
        <v/>
      </c>
      <c r="B3" s="17">
        <f>Catalogo!C3</f>
        <v/>
      </c>
      <c r="C3" s="19">
        <f>IF(Catalogo!H3="","(vazio)",Catalogo!H3)</f>
        <v/>
      </c>
      <c r="D3" s="19">
        <f>IF(AND(ISNUMBER(SEARCH(","&amp;D$1&amp;",",","&amp;SUBSTITUTE(Catalogo!$F3," ","")&amp;",")),Catalogo!$H3&lt;&gt;"N"),"●","")</f>
        <v/>
      </c>
      <c r="E3" s="19">
        <f>IF(AND(ISNUMBER(SEARCH(","&amp;E$1&amp;",",","&amp;SUBSTITUTE(Catalogo!$F3," ","")&amp;",")),Catalogo!$H3&lt;&gt;"N"),"●","")</f>
        <v/>
      </c>
      <c r="F3" s="19">
        <f>IF(AND(ISNUMBER(SEARCH(","&amp;F$1&amp;",",","&amp;SUBSTITUTE(Catalogo!$F3," ","")&amp;",")),Catalogo!$H3&lt;&gt;"N"),"●","")</f>
        <v/>
      </c>
      <c r="G3" s="19">
        <f>IF(AND(ISNUMBER(SEARCH(","&amp;G$1&amp;",",","&amp;SUBSTITUTE(Catalogo!$F3," ","")&amp;",")),Catalogo!$H3&lt;&gt;"N"),"●","")</f>
        <v/>
      </c>
      <c r="H3" s="19">
        <f>IF(AND(ISNUMBER(SEARCH(","&amp;H$1&amp;",",","&amp;SUBSTITUTE(Catalogo!$F3," ","")&amp;",")),Catalogo!$H3&lt;&gt;"N"),"●","")</f>
        <v/>
      </c>
      <c r="I3" s="19">
        <f>IF(AND(ISNUMBER(SEARCH(","&amp;I$1&amp;",",","&amp;SUBSTITUTE(Catalogo!$F3," ","")&amp;",")),Catalogo!$H3&lt;&gt;"N"),"●","")</f>
        <v/>
      </c>
      <c r="J3" s="19">
        <f>IF(AND(ISNUMBER(SEARCH(","&amp;J$1&amp;",",","&amp;SUBSTITUTE(Catalogo!$F3," ","")&amp;",")),Catalogo!$H3&lt;&gt;"N"),"●","")</f>
        <v/>
      </c>
      <c r="K3" s="19">
        <f>IF(AND(ISNUMBER(SEARCH(","&amp;K$1&amp;",",","&amp;SUBSTITUTE(Catalogo!$F3," ","")&amp;",")),Catalogo!$H3&lt;&gt;"N"),"●","")</f>
        <v/>
      </c>
      <c r="L3" s="19">
        <f>IF(AND(ISNUMBER(SEARCH(","&amp;L$1&amp;",",","&amp;SUBSTITUTE(Catalogo!$F3," ","")&amp;",")),Catalogo!$H3&lt;&gt;"N"),"●","")</f>
        <v/>
      </c>
      <c r="M3" s="19">
        <f>IF(AND(ISNUMBER(SEARCH(","&amp;M$1&amp;",",","&amp;SUBSTITUTE(Catalogo!$F3," ","")&amp;",")),Catalogo!$H3&lt;&gt;"N"),"●","")</f>
        <v/>
      </c>
    </row>
    <row r="4">
      <c r="A4" s="17">
        <f>Catalogo!A4</f>
        <v/>
      </c>
      <c r="B4" s="17">
        <f>Catalogo!C4</f>
        <v/>
      </c>
      <c r="C4" s="19">
        <f>IF(Catalogo!H4="","(vazio)",Catalogo!H4)</f>
        <v/>
      </c>
      <c r="D4" s="19">
        <f>IF(AND(ISNUMBER(SEARCH(","&amp;D$1&amp;",",","&amp;SUBSTITUTE(Catalogo!$F4," ","")&amp;",")),Catalogo!$H4&lt;&gt;"N"),"●","")</f>
        <v/>
      </c>
      <c r="E4" s="19">
        <f>IF(AND(ISNUMBER(SEARCH(","&amp;E$1&amp;",",","&amp;SUBSTITUTE(Catalogo!$F4," ","")&amp;",")),Catalogo!$H4&lt;&gt;"N"),"●","")</f>
        <v/>
      </c>
      <c r="F4" s="19">
        <f>IF(AND(ISNUMBER(SEARCH(","&amp;F$1&amp;",",","&amp;SUBSTITUTE(Catalogo!$F4," ","")&amp;",")),Catalogo!$H4&lt;&gt;"N"),"●","")</f>
        <v/>
      </c>
      <c r="G4" s="19">
        <f>IF(AND(ISNUMBER(SEARCH(","&amp;G$1&amp;",",","&amp;SUBSTITUTE(Catalogo!$F4," ","")&amp;",")),Catalogo!$H4&lt;&gt;"N"),"●","")</f>
        <v/>
      </c>
      <c r="H4" s="19">
        <f>IF(AND(ISNUMBER(SEARCH(","&amp;H$1&amp;",",","&amp;SUBSTITUTE(Catalogo!$F4," ","")&amp;",")),Catalogo!$H4&lt;&gt;"N"),"●","")</f>
        <v/>
      </c>
      <c r="I4" s="19">
        <f>IF(AND(ISNUMBER(SEARCH(","&amp;I$1&amp;",",","&amp;SUBSTITUTE(Catalogo!$F4," ","")&amp;",")),Catalogo!$H4&lt;&gt;"N"),"●","")</f>
        <v/>
      </c>
      <c r="J4" s="19">
        <f>IF(AND(ISNUMBER(SEARCH(","&amp;J$1&amp;",",","&amp;SUBSTITUTE(Catalogo!$F4," ","")&amp;",")),Catalogo!$H4&lt;&gt;"N"),"●","")</f>
        <v/>
      </c>
      <c r="K4" s="19">
        <f>IF(AND(ISNUMBER(SEARCH(","&amp;K$1&amp;",",","&amp;SUBSTITUTE(Catalogo!$F4," ","")&amp;",")),Catalogo!$H4&lt;&gt;"N"),"●","")</f>
        <v/>
      </c>
      <c r="L4" s="19">
        <f>IF(AND(ISNUMBER(SEARCH(","&amp;L$1&amp;",",","&amp;SUBSTITUTE(Catalogo!$F4," ","")&amp;",")),Catalogo!$H4&lt;&gt;"N"),"●","")</f>
        <v/>
      </c>
      <c r="M4" s="19">
        <f>IF(AND(ISNUMBER(SEARCH(","&amp;M$1&amp;",",","&amp;SUBSTITUTE(Catalogo!$F4," ","")&amp;",")),Catalogo!$H4&lt;&gt;"N"),"●","")</f>
        <v/>
      </c>
    </row>
    <row r="5">
      <c r="A5" s="17">
        <f>Catalogo!A5</f>
        <v/>
      </c>
      <c r="B5" s="17">
        <f>Catalogo!C5</f>
        <v/>
      </c>
      <c r="C5" s="19">
        <f>IF(Catalogo!H5="","(vazio)",Catalogo!H5)</f>
        <v/>
      </c>
      <c r="D5" s="19">
        <f>IF(AND(ISNUMBER(SEARCH(","&amp;D$1&amp;",",","&amp;SUBSTITUTE(Catalogo!$F5," ","")&amp;",")),Catalogo!$H5&lt;&gt;"N"),"●","")</f>
        <v/>
      </c>
      <c r="E5" s="19">
        <f>IF(AND(ISNUMBER(SEARCH(","&amp;E$1&amp;",",","&amp;SUBSTITUTE(Catalogo!$F5," ","")&amp;",")),Catalogo!$H5&lt;&gt;"N"),"●","")</f>
        <v/>
      </c>
      <c r="F5" s="19">
        <f>IF(AND(ISNUMBER(SEARCH(","&amp;F$1&amp;",",","&amp;SUBSTITUTE(Catalogo!$F5," ","")&amp;",")),Catalogo!$H5&lt;&gt;"N"),"●","")</f>
        <v/>
      </c>
      <c r="G5" s="19">
        <f>IF(AND(ISNUMBER(SEARCH(","&amp;G$1&amp;",",","&amp;SUBSTITUTE(Catalogo!$F5," ","")&amp;",")),Catalogo!$H5&lt;&gt;"N"),"●","")</f>
        <v/>
      </c>
      <c r="H5" s="19">
        <f>IF(AND(ISNUMBER(SEARCH(","&amp;H$1&amp;",",","&amp;SUBSTITUTE(Catalogo!$F5," ","")&amp;",")),Catalogo!$H5&lt;&gt;"N"),"●","")</f>
        <v/>
      </c>
      <c r="I5" s="19">
        <f>IF(AND(ISNUMBER(SEARCH(","&amp;I$1&amp;",",","&amp;SUBSTITUTE(Catalogo!$F5," ","")&amp;",")),Catalogo!$H5&lt;&gt;"N"),"●","")</f>
        <v/>
      </c>
      <c r="J5" s="19">
        <f>IF(AND(ISNUMBER(SEARCH(","&amp;J$1&amp;",",","&amp;SUBSTITUTE(Catalogo!$F5," ","")&amp;",")),Catalogo!$H5&lt;&gt;"N"),"●","")</f>
        <v/>
      </c>
      <c r="K5" s="19">
        <f>IF(AND(ISNUMBER(SEARCH(","&amp;K$1&amp;",",","&amp;SUBSTITUTE(Catalogo!$F5," ","")&amp;",")),Catalogo!$H5&lt;&gt;"N"),"●","")</f>
        <v/>
      </c>
      <c r="L5" s="19">
        <f>IF(AND(ISNUMBER(SEARCH(","&amp;L$1&amp;",",","&amp;SUBSTITUTE(Catalogo!$F5," ","")&amp;",")),Catalogo!$H5&lt;&gt;"N"),"●","")</f>
        <v/>
      </c>
      <c r="M5" s="19">
        <f>IF(AND(ISNUMBER(SEARCH(","&amp;M$1&amp;",",","&amp;SUBSTITUTE(Catalogo!$F5," ","")&amp;",")),Catalogo!$H5&lt;&gt;"N"),"●","")</f>
        <v/>
      </c>
    </row>
    <row r="6">
      <c r="A6" s="17">
        <f>Catalogo!A6</f>
        <v/>
      </c>
      <c r="B6" s="17">
        <f>Catalogo!C6</f>
        <v/>
      </c>
      <c r="C6" s="19">
        <f>IF(Catalogo!H6="","(vazio)",Catalogo!H6)</f>
        <v/>
      </c>
      <c r="D6" s="19">
        <f>IF(AND(ISNUMBER(SEARCH(","&amp;D$1&amp;",",","&amp;SUBSTITUTE(Catalogo!$F6," ","")&amp;",")),Catalogo!$H6&lt;&gt;"N"),"●","")</f>
        <v/>
      </c>
      <c r="E6" s="19">
        <f>IF(AND(ISNUMBER(SEARCH(","&amp;E$1&amp;",",","&amp;SUBSTITUTE(Catalogo!$F6," ","")&amp;",")),Catalogo!$H6&lt;&gt;"N"),"●","")</f>
        <v/>
      </c>
      <c r="F6" s="19">
        <f>IF(AND(ISNUMBER(SEARCH(","&amp;F$1&amp;",",","&amp;SUBSTITUTE(Catalogo!$F6," ","")&amp;",")),Catalogo!$H6&lt;&gt;"N"),"●","")</f>
        <v/>
      </c>
      <c r="G6" s="19">
        <f>IF(AND(ISNUMBER(SEARCH(","&amp;G$1&amp;",",","&amp;SUBSTITUTE(Catalogo!$F6," ","")&amp;",")),Catalogo!$H6&lt;&gt;"N"),"●","")</f>
        <v/>
      </c>
      <c r="H6" s="19">
        <f>IF(AND(ISNUMBER(SEARCH(","&amp;H$1&amp;",",","&amp;SUBSTITUTE(Catalogo!$F6," ","")&amp;",")),Catalogo!$H6&lt;&gt;"N"),"●","")</f>
        <v/>
      </c>
      <c r="I6" s="19">
        <f>IF(AND(ISNUMBER(SEARCH(","&amp;I$1&amp;",",","&amp;SUBSTITUTE(Catalogo!$F6," ","")&amp;",")),Catalogo!$H6&lt;&gt;"N"),"●","")</f>
        <v/>
      </c>
      <c r="J6" s="19">
        <f>IF(AND(ISNUMBER(SEARCH(","&amp;J$1&amp;",",","&amp;SUBSTITUTE(Catalogo!$F6," ","")&amp;",")),Catalogo!$H6&lt;&gt;"N"),"●","")</f>
        <v/>
      </c>
      <c r="K6" s="19">
        <f>IF(AND(ISNUMBER(SEARCH(","&amp;K$1&amp;",",","&amp;SUBSTITUTE(Catalogo!$F6," ","")&amp;",")),Catalogo!$H6&lt;&gt;"N"),"●","")</f>
        <v/>
      </c>
      <c r="L6" s="19">
        <f>IF(AND(ISNUMBER(SEARCH(","&amp;L$1&amp;",",","&amp;SUBSTITUTE(Catalogo!$F6," ","")&amp;",")),Catalogo!$H6&lt;&gt;"N"),"●","")</f>
        <v/>
      </c>
      <c r="M6" s="19">
        <f>IF(AND(ISNUMBER(SEARCH(","&amp;M$1&amp;",",","&amp;SUBSTITUTE(Catalogo!$F6," ","")&amp;",")),Catalogo!$H6&lt;&gt;"N"),"●","")</f>
        <v/>
      </c>
    </row>
    <row r="7">
      <c r="A7" s="17">
        <f>Catalogo!A7</f>
        <v/>
      </c>
      <c r="B7" s="17">
        <f>Catalogo!C7</f>
        <v/>
      </c>
      <c r="C7" s="19">
        <f>IF(Catalogo!H7="","(vazio)",Catalogo!H7)</f>
        <v/>
      </c>
      <c r="D7" s="19">
        <f>IF(AND(ISNUMBER(SEARCH(","&amp;D$1&amp;",",","&amp;SUBSTITUTE(Catalogo!$F7," ","")&amp;",")),Catalogo!$H7&lt;&gt;"N"),"●","")</f>
        <v/>
      </c>
      <c r="E7" s="19">
        <f>IF(AND(ISNUMBER(SEARCH(","&amp;E$1&amp;",",","&amp;SUBSTITUTE(Catalogo!$F7," ","")&amp;",")),Catalogo!$H7&lt;&gt;"N"),"●","")</f>
        <v/>
      </c>
      <c r="F7" s="19">
        <f>IF(AND(ISNUMBER(SEARCH(","&amp;F$1&amp;",",","&amp;SUBSTITUTE(Catalogo!$F7," ","")&amp;",")),Catalogo!$H7&lt;&gt;"N"),"●","")</f>
        <v/>
      </c>
      <c r="G7" s="19">
        <f>IF(AND(ISNUMBER(SEARCH(","&amp;G$1&amp;",",","&amp;SUBSTITUTE(Catalogo!$F7," ","")&amp;",")),Catalogo!$H7&lt;&gt;"N"),"●","")</f>
        <v/>
      </c>
      <c r="H7" s="19">
        <f>IF(AND(ISNUMBER(SEARCH(","&amp;H$1&amp;",",","&amp;SUBSTITUTE(Catalogo!$F7," ","")&amp;",")),Catalogo!$H7&lt;&gt;"N"),"●","")</f>
        <v/>
      </c>
      <c r="I7" s="19">
        <f>IF(AND(ISNUMBER(SEARCH(","&amp;I$1&amp;",",","&amp;SUBSTITUTE(Catalogo!$F7," ","")&amp;",")),Catalogo!$H7&lt;&gt;"N"),"●","")</f>
        <v/>
      </c>
      <c r="J7" s="19">
        <f>IF(AND(ISNUMBER(SEARCH(","&amp;J$1&amp;",",","&amp;SUBSTITUTE(Catalogo!$F7," ","")&amp;",")),Catalogo!$H7&lt;&gt;"N"),"●","")</f>
        <v/>
      </c>
      <c r="K7" s="19">
        <f>IF(AND(ISNUMBER(SEARCH(","&amp;K$1&amp;",",","&amp;SUBSTITUTE(Catalogo!$F7," ","")&amp;",")),Catalogo!$H7&lt;&gt;"N"),"●","")</f>
        <v/>
      </c>
      <c r="L7" s="19">
        <f>IF(AND(ISNUMBER(SEARCH(","&amp;L$1&amp;",",","&amp;SUBSTITUTE(Catalogo!$F7," ","")&amp;",")),Catalogo!$H7&lt;&gt;"N"),"●","")</f>
        <v/>
      </c>
      <c r="M7" s="19">
        <f>IF(AND(ISNUMBER(SEARCH(","&amp;M$1&amp;",",","&amp;SUBSTITUTE(Catalogo!$F7," ","")&amp;",")),Catalogo!$H7&lt;&gt;"N"),"●","")</f>
        <v/>
      </c>
    </row>
    <row r="8">
      <c r="A8" s="17">
        <f>Catalogo!A8</f>
        <v/>
      </c>
      <c r="B8" s="17">
        <f>Catalogo!C8</f>
        <v/>
      </c>
      <c r="C8" s="19">
        <f>IF(Catalogo!H8="","(vazio)",Catalogo!H8)</f>
        <v/>
      </c>
      <c r="D8" s="19">
        <f>IF(AND(ISNUMBER(SEARCH(","&amp;D$1&amp;",",","&amp;SUBSTITUTE(Catalogo!$F8," ","")&amp;",")),Catalogo!$H8&lt;&gt;"N"),"●","")</f>
        <v/>
      </c>
      <c r="E8" s="19">
        <f>IF(AND(ISNUMBER(SEARCH(","&amp;E$1&amp;",",","&amp;SUBSTITUTE(Catalogo!$F8," ","")&amp;",")),Catalogo!$H8&lt;&gt;"N"),"●","")</f>
        <v/>
      </c>
      <c r="F8" s="19">
        <f>IF(AND(ISNUMBER(SEARCH(","&amp;F$1&amp;",",","&amp;SUBSTITUTE(Catalogo!$F8," ","")&amp;",")),Catalogo!$H8&lt;&gt;"N"),"●","")</f>
        <v/>
      </c>
      <c r="G8" s="19">
        <f>IF(AND(ISNUMBER(SEARCH(","&amp;G$1&amp;",",","&amp;SUBSTITUTE(Catalogo!$F8," ","")&amp;",")),Catalogo!$H8&lt;&gt;"N"),"●","")</f>
        <v/>
      </c>
      <c r="H8" s="19">
        <f>IF(AND(ISNUMBER(SEARCH(","&amp;H$1&amp;",",","&amp;SUBSTITUTE(Catalogo!$F8," ","")&amp;",")),Catalogo!$H8&lt;&gt;"N"),"●","")</f>
        <v/>
      </c>
      <c r="I8" s="19">
        <f>IF(AND(ISNUMBER(SEARCH(","&amp;I$1&amp;",",","&amp;SUBSTITUTE(Catalogo!$F8," ","")&amp;",")),Catalogo!$H8&lt;&gt;"N"),"●","")</f>
        <v/>
      </c>
      <c r="J8" s="19">
        <f>IF(AND(ISNUMBER(SEARCH(","&amp;J$1&amp;",",","&amp;SUBSTITUTE(Catalogo!$F8," ","")&amp;",")),Catalogo!$H8&lt;&gt;"N"),"●","")</f>
        <v/>
      </c>
      <c r="K8" s="19">
        <f>IF(AND(ISNUMBER(SEARCH(","&amp;K$1&amp;",",","&amp;SUBSTITUTE(Catalogo!$F8," ","")&amp;",")),Catalogo!$H8&lt;&gt;"N"),"●","")</f>
        <v/>
      </c>
      <c r="L8" s="19">
        <f>IF(AND(ISNUMBER(SEARCH(","&amp;L$1&amp;",",","&amp;SUBSTITUTE(Catalogo!$F8," ","")&amp;",")),Catalogo!$H8&lt;&gt;"N"),"●","")</f>
        <v/>
      </c>
      <c r="M8" s="19">
        <f>IF(AND(ISNUMBER(SEARCH(","&amp;M$1&amp;",",","&amp;SUBSTITUTE(Catalogo!$F8," ","")&amp;",")),Catalogo!$H8&lt;&gt;"N"),"●","")</f>
        <v/>
      </c>
    </row>
    <row r="9">
      <c r="A9" s="17">
        <f>Catalogo!A9</f>
        <v/>
      </c>
      <c r="B9" s="17">
        <f>Catalogo!C9</f>
        <v/>
      </c>
      <c r="C9" s="19">
        <f>IF(Catalogo!H9="","(vazio)",Catalogo!H9)</f>
        <v/>
      </c>
      <c r="D9" s="19">
        <f>IF(AND(ISNUMBER(SEARCH(","&amp;D$1&amp;",",","&amp;SUBSTITUTE(Catalogo!$F9," ","")&amp;",")),Catalogo!$H9&lt;&gt;"N"),"●","")</f>
        <v/>
      </c>
      <c r="E9" s="19">
        <f>IF(AND(ISNUMBER(SEARCH(","&amp;E$1&amp;",",","&amp;SUBSTITUTE(Catalogo!$F9," ","")&amp;",")),Catalogo!$H9&lt;&gt;"N"),"●","")</f>
        <v/>
      </c>
      <c r="F9" s="19">
        <f>IF(AND(ISNUMBER(SEARCH(","&amp;F$1&amp;",",","&amp;SUBSTITUTE(Catalogo!$F9," ","")&amp;",")),Catalogo!$H9&lt;&gt;"N"),"●","")</f>
        <v/>
      </c>
      <c r="G9" s="19">
        <f>IF(AND(ISNUMBER(SEARCH(","&amp;G$1&amp;",",","&amp;SUBSTITUTE(Catalogo!$F9," ","")&amp;",")),Catalogo!$H9&lt;&gt;"N"),"●","")</f>
        <v/>
      </c>
      <c r="H9" s="19">
        <f>IF(AND(ISNUMBER(SEARCH(","&amp;H$1&amp;",",","&amp;SUBSTITUTE(Catalogo!$F9," ","")&amp;",")),Catalogo!$H9&lt;&gt;"N"),"●","")</f>
        <v/>
      </c>
      <c r="I9" s="19">
        <f>IF(AND(ISNUMBER(SEARCH(","&amp;I$1&amp;",",","&amp;SUBSTITUTE(Catalogo!$F9," ","")&amp;",")),Catalogo!$H9&lt;&gt;"N"),"●","")</f>
        <v/>
      </c>
      <c r="J9" s="19">
        <f>IF(AND(ISNUMBER(SEARCH(","&amp;J$1&amp;",",","&amp;SUBSTITUTE(Catalogo!$F9," ","")&amp;",")),Catalogo!$H9&lt;&gt;"N"),"●","")</f>
        <v/>
      </c>
      <c r="K9" s="19">
        <f>IF(AND(ISNUMBER(SEARCH(","&amp;K$1&amp;",",","&amp;SUBSTITUTE(Catalogo!$F9," ","")&amp;",")),Catalogo!$H9&lt;&gt;"N"),"●","")</f>
        <v/>
      </c>
      <c r="L9" s="19">
        <f>IF(AND(ISNUMBER(SEARCH(","&amp;L$1&amp;",",","&amp;SUBSTITUTE(Catalogo!$F9," ","")&amp;",")),Catalogo!$H9&lt;&gt;"N"),"●","")</f>
        <v/>
      </c>
      <c r="M9" s="19">
        <f>IF(AND(ISNUMBER(SEARCH(","&amp;M$1&amp;",",","&amp;SUBSTITUTE(Catalogo!$F9," ","")&amp;",")),Catalogo!$H9&lt;&gt;"N"),"●","")</f>
        <v/>
      </c>
    </row>
    <row r="10">
      <c r="A10" s="17">
        <f>Catalogo!A10</f>
        <v/>
      </c>
      <c r="B10" s="17">
        <f>Catalogo!C10</f>
        <v/>
      </c>
      <c r="C10" s="19">
        <f>IF(Catalogo!H10="","(vazio)",Catalogo!H10)</f>
        <v/>
      </c>
      <c r="D10" s="19">
        <f>IF(AND(ISNUMBER(SEARCH(","&amp;D$1&amp;",",","&amp;SUBSTITUTE(Catalogo!$F10," ","")&amp;",")),Catalogo!$H10&lt;&gt;"N"),"●","")</f>
        <v/>
      </c>
      <c r="E10" s="19">
        <f>IF(AND(ISNUMBER(SEARCH(","&amp;E$1&amp;",",","&amp;SUBSTITUTE(Catalogo!$F10," ","")&amp;",")),Catalogo!$H10&lt;&gt;"N"),"●","")</f>
        <v/>
      </c>
      <c r="F10" s="19">
        <f>IF(AND(ISNUMBER(SEARCH(","&amp;F$1&amp;",",","&amp;SUBSTITUTE(Catalogo!$F10," ","")&amp;",")),Catalogo!$H10&lt;&gt;"N"),"●","")</f>
        <v/>
      </c>
      <c r="G10" s="19">
        <f>IF(AND(ISNUMBER(SEARCH(","&amp;G$1&amp;",",","&amp;SUBSTITUTE(Catalogo!$F10," ","")&amp;",")),Catalogo!$H10&lt;&gt;"N"),"●","")</f>
        <v/>
      </c>
      <c r="H10" s="19">
        <f>IF(AND(ISNUMBER(SEARCH(","&amp;H$1&amp;",",","&amp;SUBSTITUTE(Catalogo!$F10," ","")&amp;",")),Catalogo!$H10&lt;&gt;"N"),"●","")</f>
        <v/>
      </c>
      <c r="I10" s="19">
        <f>IF(AND(ISNUMBER(SEARCH(","&amp;I$1&amp;",",","&amp;SUBSTITUTE(Catalogo!$F10," ","")&amp;",")),Catalogo!$H10&lt;&gt;"N"),"●","")</f>
        <v/>
      </c>
      <c r="J10" s="19">
        <f>IF(AND(ISNUMBER(SEARCH(","&amp;J$1&amp;",",","&amp;SUBSTITUTE(Catalogo!$F10," ","")&amp;",")),Catalogo!$H10&lt;&gt;"N"),"●","")</f>
        <v/>
      </c>
      <c r="K10" s="19">
        <f>IF(AND(ISNUMBER(SEARCH(","&amp;K$1&amp;",",","&amp;SUBSTITUTE(Catalogo!$F10," ","")&amp;",")),Catalogo!$H10&lt;&gt;"N"),"●","")</f>
        <v/>
      </c>
      <c r="L10" s="19">
        <f>IF(AND(ISNUMBER(SEARCH(","&amp;L$1&amp;",",","&amp;SUBSTITUTE(Catalogo!$F10," ","")&amp;",")),Catalogo!$H10&lt;&gt;"N"),"●","")</f>
        <v/>
      </c>
      <c r="M10" s="19">
        <f>IF(AND(ISNUMBER(SEARCH(","&amp;M$1&amp;",",","&amp;SUBSTITUTE(Catalogo!$F10," ","")&amp;",")),Catalogo!$H10&lt;&gt;"N"),"●","")</f>
        <v/>
      </c>
    </row>
    <row r="11">
      <c r="A11" s="17">
        <f>Catalogo!A11</f>
        <v/>
      </c>
      <c r="B11" s="17">
        <f>Catalogo!C11</f>
        <v/>
      </c>
      <c r="C11" s="19">
        <f>IF(Catalogo!H11="","(vazio)",Catalogo!H11)</f>
        <v/>
      </c>
      <c r="D11" s="19">
        <f>IF(AND(ISNUMBER(SEARCH(","&amp;D$1&amp;",",","&amp;SUBSTITUTE(Catalogo!$F11," ","")&amp;",")),Catalogo!$H11&lt;&gt;"N"),"●","")</f>
        <v/>
      </c>
      <c r="E11" s="19">
        <f>IF(AND(ISNUMBER(SEARCH(","&amp;E$1&amp;",",","&amp;SUBSTITUTE(Catalogo!$F11," ","")&amp;",")),Catalogo!$H11&lt;&gt;"N"),"●","")</f>
        <v/>
      </c>
      <c r="F11" s="19">
        <f>IF(AND(ISNUMBER(SEARCH(","&amp;F$1&amp;",",","&amp;SUBSTITUTE(Catalogo!$F11," ","")&amp;",")),Catalogo!$H11&lt;&gt;"N"),"●","")</f>
        <v/>
      </c>
      <c r="G11" s="19">
        <f>IF(AND(ISNUMBER(SEARCH(","&amp;G$1&amp;",",","&amp;SUBSTITUTE(Catalogo!$F11," ","")&amp;",")),Catalogo!$H11&lt;&gt;"N"),"●","")</f>
        <v/>
      </c>
      <c r="H11" s="19">
        <f>IF(AND(ISNUMBER(SEARCH(","&amp;H$1&amp;",",","&amp;SUBSTITUTE(Catalogo!$F11," ","")&amp;",")),Catalogo!$H11&lt;&gt;"N"),"●","")</f>
        <v/>
      </c>
      <c r="I11" s="19">
        <f>IF(AND(ISNUMBER(SEARCH(","&amp;I$1&amp;",",","&amp;SUBSTITUTE(Catalogo!$F11," ","")&amp;",")),Catalogo!$H11&lt;&gt;"N"),"●","")</f>
        <v/>
      </c>
      <c r="J11" s="19">
        <f>IF(AND(ISNUMBER(SEARCH(","&amp;J$1&amp;",",","&amp;SUBSTITUTE(Catalogo!$F11," ","")&amp;",")),Catalogo!$H11&lt;&gt;"N"),"●","")</f>
        <v/>
      </c>
      <c r="K11" s="19">
        <f>IF(AND(ISNUMBER(SEARCH(","&amp;K$1&amp;",",","&amp;SUBSTITUTE(Catalogo!$F11," ","")&amp;",")),Catalogo!$H11&lt;&gt;"N"),"●","")</f>
        <v/>
      </c>
      <c r="L11" s="19">
        <f>IF(AND(ISNUMBER(SEARCH(","&amp;L$1&amp;",",","&amp;SUBSTITUTE(Catalogo!$F11," ","")&amp;",")),Catalogo!$H11&lt;&gt;"N"),"●","")</f>
        <v/>
      </c>
      <c r="M11" s="19">
        <f>IF(AND(ISNUMBER(SEARCH(","&amp;M$1&amp;",",","&amp;SUBSTITUTE(Catalogo!$F11," ","")&amp;",")),Catalogo!$H11&lt;&gt;"N"),"●","")</f>
        <v/>
      </c>
    </row>
    <row r="12">
      <c r="A12" s="17">
        <f>Catalogo!A12</f>
        <v/>
      </c>
      <c r="B12" s="17">
        <f>Catalogo!C12</f>
        <v/>
      </c>
      <c r="C12" s="19">
        <f>IF(Catalogo!H12="","(vazio)",Catalogo!H12)</f>
        <v/>
      </c>
      <c r="D12" s="19">
        <f>IF(AND(ISNUMBER(SEARCH(","&amp;D$1&amp;",",","&amp;SUBSTITUTE(Catalogo!$F12," ","")&amp;",")),Catalogo!$H12&lt;&gt;"N"),"●","")</f>
        <v/>
      </c>
      <c r="E12" s="19">
        <f>IF(AND(ISNUMBER(SEARCH(","&amp;E$1&amp;",",","&amp;SUBSTITUTE(Catalogo!$F12," ","")&amp;",")),Catalogo!$H12&lt;&gt;"N"),"●","")</f>
        <v/>
      </c>
      <c r="F12" s="19">
        <f>IF(AND(ISNUMBER(SEARCH(","&amp;F$1&amp;",",","&amp;SUBSTITUTE(Catalogo!$F12," ","")&amp;",")),Catalogo!$H12&lt;&gt;"N"),"●","")</f>
        <v/>
      </c>
      <c r="G12" s="19">
        <f>IF(AND(ISNUMBER(SEARCH(","&amp;G$1&amp;",",","&amp;SUBSTITUTE(Catalogo!$F12," ","")&amp;",")),Catalogo!$H12&lt;&gt;"N"),"●","")</f>
        <v/>
      </c>
      <c r="H12" s="19">
        <f>IF(AND(ISNUMBER(SEARCH(","&amp;H$1&amp;",",","&amp;SUBSTITUTE(Catalogo!$F12," ","")&amp;",")),Catalogo!$H12&lt;&gt;"N"),"●","")</f>
        <v/>
      </c>
      <c r="I12" s="19">
        <f>IF(AND(ISNUMBER(SEARCH(","&amp;I$1&amp;",",","&amp;SUBSTITUTE(Catalogo!$F12," ","")&amp;",")),Catalogo!$H12&lt;&gt;"N"),"●","")</f>
        <v/>
      </c>
      <c r="J12" s="19">
        <f>IF(AND(ISNUMBER(SEARCH(","&amp;J$1&amp;",",","&amp;SUBSTITUTE(Catalogo!$F12," ","")&amp;",")),Catalogo!$H12&lt;&gt;"N"),"●","")</f>
        <v/>
      </c>
      <c r="K12" s="19">
        <f>IF(AND(ISNUMBER(SEARCH(","&amp;K$1&amp;",",","&amp;SUBSTITUTE(Catalogo!$F12," ","")&amp;",")),Catalogo!$H12&lt;&gt;"N"),"●","")</f>
        <v/>
      </c>
      <c r="L12" s="19">
        <f>IF(AND(ISNUMBER(SEARCH(","&amp;L$1&amp;",",","&amp;SUBSTITUTE(Catalogo!$F12," ","")&amp;",")),Catalogo!$H12&lt;&gt;"N"),"●","")</f>
        <v/>
      </c>
      <c r="M12" s="19">
        <f>IF(AND(ISNUMBER(SEARCH(","&amp;M$1&amp;",",","&amp;SUBSTITUTE(Catalogo!$F12," ","")&amp;",")),Catalogo!$H12&lt;&gt;"N"),"●","")</f>
        <v/>
      </c>
    </row>
    <row r="13">
      <c r="A13" s="17">
        <f>Catalogo!A13</f>
        <v/>
      </c>
      <c r="B13" s="17">
        <f>Catalogo!C13</f>
        <v/>
      </c>
      <c r="C13" s="19">
        <f>IF(Catalogo!H13="","(vazio)",Catalogo!H13)</f>
        <v/>
      </c>
      <c r="D13" s="19">
        <f>IF(AND(ISNUMBER(SEARCH(","&amp;D$1&amp;",",","&amp;SUBSTITUTE(Catalogo!$F13," ","")&amp;",")),Catalogo!$H13&lt;&gt;"N"),"●","")</f>
        <v/>
      </c>
      <c r="E13" s="19">
        <f>IF(AND(ISNUMBER(SEARCH(","&amp;E$1&amp;",",","&amp;SUBSTITUTE(Catalogo!$F13," ","")&amp;",")),Catalogo!$H13&lt;&gt;"N"),"●","")</f>
        <v/>
      </c>
      <c r="F13" s="19">
        <f>IF(AND(ISNUMBER(SEARCH(","&amp;F$1&amp;",",","&amp;SUBSTITUTE(Catalogo!$F13," ","")&amp;",")),Catalogo!$H13&lt;&gt;"N"),"●","")</f>
        <v/>
      </c>
      <c r="G13" s="19">
        <f>IF(AND(ISNUMBER(SEARCH(","&amp;G$1&amp;",",","&amp;SUBSTITUTE(Catalogo!$F13," ","")&amp;",")),Catalogo!$H13&lt;&gt;"N"),"●","")</f>
        <v/>
      </c>
      <c r="H13" s="19">
        <f>IF(AND(ISNUMBER(SEARCH(","&amp;H$1&amp;",",","&amp;SUBSTITUTE(Catalogo!$F13," ","")&amp;",")),Catalogo!$H13&lt;&gt;"N"),"●","")</f>
        <v/>
      </c>
      <c r="I13" s="19">
        <f>IF(AND(ISNUMBER(SEARCH(","&amp;I$1&amp;",",","&amp;SUBSTITUTE(Catalogo!$F13," ","")&amp;",")),Catalogo!$H13&lt;&gt;"N"),"●","")</f>
        <v/>
      </c>
      <c r="J13" s="19">
        <f>IF(AND(ISNUMBER(SEARCH(","&amp;J$1&amp;",",","&amp;SUBSTITUTE(Catalogo!$F13," ","")&amp;",")),Catalogo!$H13&lt;&gt;"N"),"●","")</f>
        <v/>
      </c>
      <c r="K13" s="19">
        <f>IF(AND(ISNUMBER(SEARCH(","&amp;K$1&amp;",",","&amp;SUBSTITUTE(Catalogo!$F13," ","")&amp;",")),Catalogo!$H13&lt;&gt;"N"),"●","")</f>
        <v/>
      </c>
      <c r="L13" s="19">
        <f>IF(AND(ISNUMBER(SEARCH(","&amp;L$1&amp;",",","&amp;SUBSTITUTE(Catalogo!$F13," ","")&amp;",")),Catalogo!$H13&lt;&gt;"N"),"●","")</f>
        <v/>
      </c>
      <c r="M13" s="19">
        <f>IF(AND(ISNUMBER(SEARCH(","&amp;M$1&amp;",",","&amp;SUBSTITUTE(Catalogo!$F13," ","")&amp;",")),Catalogo!$H13&lt;&gt;"N"),"●","")</f>
        <v/>
      </c>
    </row>
    <row r="14">
      <c r="A14" s="17">
        <f>Catalogo!A14</f>
        <v/>
      </c>
      <c r="B14" s="17">
        <f>Catalogo!C14</f>
        <v/>
      </c>
      <c r="C14" s="19">
        <f>IF(Catalogo!H14="","(vazio)",Catalogo!H14)</f>
        <v/>
      </c>
      <c r="D14" s="19">
        <f>IF(AND(ISNUMBER(SEARCH(","&amp;D$1&amp;",",","&amp;SUBSTITUTE(Catalogo!$F14," ","")&amp;",")),Catalogo!$H14&lt;&gt;"N"),"●","")</f>
        <v/>
      </c>
      <c r="E14" s="19">
        <f>IF(AND(ISNUMBER(SEARCH(","&amp;E$1&amp;",",","&amp;SUBSTITUTE(Catalogo!$F14," ","")&amp;",")),Catalogo!$H14&lt;&gt;"N"),"●","")</f>
        <v/>
      </c>
      <c r="F14" s="19">
        <f>IF(AND(ISNUMBER(SEARCH(","&amp;F$1&amp;",",","&amp;SUBSTITUTE(Catalogo!$F14," ","")&amp;",")),Catalogo!$H14&lt;&gt;"N"),"●","")</f>
        <v/>
      </c>
      <c r="G14" s="19">
        <f>IF(AND(ISNUMBER(SEARCH(","&amp;G$1&amp;",",","&amp;SUBSTITUTE(Catalogo!$F14," ","")&amp;",")),Catalogo!$H14&lt;&gt;"N"),"●","")</f>
        <v/>
      </c>
      <c r="H14" s="19">
        <f>IF(AND(ISNUMBER(SEARCH(","&amp;H$1&amp;",",","&amp;SUBSTITUTE(Catalogo!$F14," ","")&amp;",")),Catalogo!$H14&lt;&gt;"N"),"●","")</f>
        <v/>
      </c>
      <c r="I14" s="19">
        <f>IF(AND(ISNUMBER(SEARCH(","&amp;I$1&amp;",",","&amp;SUBSTITUTE(Catalogo!$F14," ","")&amp;",")),Catalogo!$H14&lt;&gt;"N"),"●","")</f>
        <v/>
      </c>
      <c r="J14" s="19">
        <f>IF(AND(ISNUMBER(SEARCH(","&amp;J$1&amp;",",","&amp;SUBSTITUTE(Catalogo!$F14," ","")&amp;",")),Catalogo!$H14&lt;&gt;"N"),"●","")</f>
        <v/>
      </c>
      <c r="K14" s="19">
        <f>IF(AND(ISNUMBER(SEARCH(","&amp;K$1&amp;",",","&amp;SUBSTITUTE(Catalogo!$F14," ","")&amp;",")),Catalogo!$H14&lt;&gt;"N"),"●","")</f>
        <v/>
      </c>
      <c r="L14" s="19">
        <f>IF(AND(ISNUMBER(SEARCH(","&amp;L$1&amp;",",","&amp;SUBSTITUTE(Catalogo!$F14," ","")&amp;",")),Catalogo!$H14&lt;&gt;"N"),"●","")</f>
        <v/>
      </c>
      <c r="M14" s="19">
        <f>IF(AND(ISNUMBER(SEARCH(","&amp;M$1&amp;",",","&amp;SUBSTITUTE(Catalogo!$F14," ","")&amp;",")),Catalogo!$H14&lt;&gt;"N"),"●","")</f>
        <v/>
      </c>
    </row>
    <row r="15">
      <c r="A15" s="17">
        <f>Catalogo!A15</f>
        <v/>
      </c>
      <c r="B15" s="17">
        <f>Catalogo!C15</f>
        <v/>
      </c>
      <c r="C15" s="19">
        <f>IF(Catalogo!H15="","(vazio)",Catalogo!H15)</f>
        <v/>
      </c>
      <c r="D15" s="19">
        <f>IF(AND(ISNUMBER(SEARCH(","&amp;D$1&amp;",",","&amp;SUBSTITUTE(Catalogo!$F15," ","")&amp;",")),Catalogo!$H15&lt;&gt;"N"),"●","")</f>
        <v/>
      </c>
      <c r="E15" s="19">
        <f>IF(AND(ISNUMBER(SEARCH(","&amp;E$1&amp;",",","&amp;SUBSTITUTE(Catalogo!$F15," ","")&amp;",")),Catalogo!$H15&lt;&gt;"N"),"●","")</f>
        <v/>
      </c>
      <c r="F15" s="19">
        <f>IF(AND(ISNUMBER(SEARCH(","&amp;F$1&amp;",",","&amp;SUBSTITUTE(Catalogo!$F15," ","")&amp;",")),Catalogo!$H15&lt;&gt;"N"),"●","")</f>
        <v/>
      </c>
      <c r="G15" s="19">
        <f>IF(AND(ISNUMBER(SEARCH(","&amp;G$1&amp;",",","&amp;SUBSTITUTE(Catalogo!$F15," ","")&amp;",")),Catalogo!$H15&lt;&gt;"N"),"●","")</f>
        <v/>
      </c>
      <c r="H15" s="19">
        <f>IF(AND(ISNUMBER(SEARCH(","&amp;H$1&amp;",",","&amp;SUBSTITUTE(Catalogo!$F15," ","")&amp;",")),Catalogo!$H15&lt;&gt;"N"),"●","")</f>
        <v/>
      </c>
      <c r="I15" s="19">
        <f>IF(AND(ISNUMBER(SEARCH(","&amp;I$1&amp;",",","&amp;SUBSTITUTE(Catalogo!$F15," ","")&amp;",")),Catalogo!$H15&lt;&gt;"N"),"●","")</f>
        <v/>
      </c>
      <c r="J15" s="19">
        <f>IF(AND(ISNUMBER(SEARCH(","&amp;J$1&amp;",",","&amp;SUBSTITUTE(Catalogo!$F15," ","")&amp;",")),Catalogo!$H15&lt;&gt;"N"),"●","")</f>
        <v/>
      </c>
      <c r="K15" s="19">
        <f>IF(AND(ISNUMBER(SEARCH(","&amp;K$1&amp;",",","&amp;SUBSTITUTE(Catalogo!$F15," ","")&amp;",")),Catalogo!$H15&lt;&gt;"N"),"●","")</f>
        <v/>
      </c>
      <c r="L15" s="19">
        <f>IF(AND(ISNUMBER(SEARCH(","&amp;L$1&amp;",",","&amp;SUBSTITUTE(Catalogo!$F15," ","")&amp;",")),Catalogo!$H15&lt;&gt;"N"),"●","")</f>
        <v/>
      </c>
      <c r="M15" s="19">
        <f>IF(AND(ISNUMBER(SEARCH(","&amp;M$1&amp;",",","&amp;SUBSTITUTE(Catalogo!$F15," ","")&amp;",")),Catalogo!$H15&lt;&gt;"N"),"●","")</f>
        <v/>
      </c>
    </row>
    <row r="16">
      <c r="A16" s="17">
        <f>Catalogo!A16</f>
        <v/>
      </c>
      <c r="B16" s="17">
        <f>Catalogo!C16</f>
        <v/>
      </c>
      <c r="C16" s="19">
        <f>IF(Catalogo!H16="","(vazio)",Catalogo!H16)</f>
        <v/>
      </c>
      <c r="D16" s="19">
        <f>IF(AND(ISNUMBER(SEARCH(","&amp;D$1&amp;",",","&amp;SUBSTITUTE(Catalogo!$F16," ","")&amp;",")),Catalogo!$H16&lt;&gt;"N"),"●","")</f>
        <v/>
      </c>
      <c r="E16" s="19">
        <f>IF(AND(ISNUMBER(SEARCH(","&amp;E$1&amp;",",","&amp;SUBSTITUTE(Catalogo!$F16," ","")&amp;",")),Catalogo!$H16&lt;&gt;"N"),"●","")</f>
        <v/>
      </c>
      <c r="F16" s="19">
        <f>IF(AND(ISNUMBER(SEARCH(","&amp;F$1&amp;",",","&amp;SUBSTITUTE(Catalogo!$F16," ","")&amp;",")),Catalogo!$H16&lt;&gt;"N"),"●","")</f>
        <v/>
      </c>
      <c r="G16" s="19">
        <f>IF(AND(ISNUMBER(SEARCH(","&amp;G$1&amp;",",","&amp;SUBSTITUTE(Catalogo!$F16," ","")&amp;",")),Catalogo!$H16&lt;&gt;"N"),"●","")</f>
        <v/>
      </c>
      <c r="H16" s="19">
        <f>IF(AND(ISNUMBER(SEARCH(","&amp;H$1&amp;",",","&amp;SUBSTITUTE(Catalogo!$F16," ","")&amp;",")),Catalogo!$H16&lt;&gt;"N"),"●","")</f>
        <v/>
      </c>
      <c r="I16" s="19">
        <f>IF(AND(ISNUMBER(SEARCH(","&amp;I$1&amp;",",","&amp;SUBSTITUTE(Catalogo!$F16," ","")&amp;",")),Catalogo!$H16&lt;&gt;"N"),"●","")</f>
        <v/>
      </c>
      <c r="J16" s="19">
        <f>IF(AND(ISNUMBER(SEARCH(","&amp;J$1&amp;",",","&amp;SUBSTITUTE(Catalogo!$F16," ","")&amp;",")),Catalogo!$H16&lt;&gt;"N"),"●","")</f>
        <v/>
      </c>
      <c r="K16" s="19">
        <f>IF(AND(ISNUMBER(SEARCH(","&amp;K$1&amp;",",","&amp;SUBSTITUTE(Catalogo!$F16," ","")&amp;",")),Catalogo!$H16&lt;&gt;"N"),"●","")</f>
        <v/>
      </c>
      <c r="L16" s="19">
        <f>IF(AND(ISNUMBER(SEARCH(","&amp;L$1&amp;",",","&amp;SUBSTITUTE(Catalogo!$F16," ","")&amp;",")),Catalogo!$H16&lt;&gt;"N"),"●","")</f>
        <v/>
      </c>
      <c r="M16" s="19">
        <f>IF(AND(ISNUMBER(SEARCH(","&amp;M$1&amp;",",","&amp;SUBSTITUTE(Catalogo!$F16," ","")&amp;",")),Catalogo!$H16&lt;&gt;"N"),"●","")</f>
        <v/>
      </c>
    </row>
    <row r="17">
      <c r="A17" s="17">
        <f>Catalogo!A17</f>
        <v/>
      </c>
      <c r="B17" s="17">
        <f>Catalogo!C17</f>
        <v/>
      </c>
      <c r="C17" s="19">
        <f>IF(Catalogo!H17="","(vazio)",Catalogo!H17)</f>
        <v/>
      </c>
      <c r="D17" s="19">
        <f>IF(AND(ISNUMBER(SEARCH(","&amp;D$1&amp;",",","&amp;SUBSTITUTE(Catalogo!$F17," ","")&amp;",")),Catalogo!$H17&lt;&gt;"N"),"●","")</f>
        <v/>
      </c>
      <c r="E17" s="19">
        <f>IF(AND(ISNUMBER(SEARCH(","&amp;E$1&amp;",",","&amp;SUBSTITUTE(Catalogo!$F17," ","")&amp;",")),Catalogo!$H17&lt;&gt;"N"),"●","")</f>
        <v/>
      </c>
      <c r="F17" s="19">
        <f>IF(AND(ISNUMBER(SEARCH(","&amp;F$1&amp;",",","&amp;SUBSTITUTE(Catalogo!$F17," ","")&amp;",")),Catalogo!$H17&lt;&gt;"N"),"●","")</f>
        <v/>
      </c>
      <c r="G17" s="19">
        <f>IF(AND(ISNUMBER(SEARCH(","&amp;G$1&amp;",",","&amp;SUBSTITUTE(Catalogo!$F17," ","")&amp;",")),Catalogo!$H17&lt;&gt;"N"),"●","")</f>
        <v/>
      </c>
      <c r="H17" s="19">
        <f>IF(AND(ISNUMBER(SEARCH(","&amp;H$1&amp;",",","&amp;SUBSTITUTE(Catalogo!$F17," ","")&amp;",")),Catalogo!$H17&lt;&gt;"N"),"●","")</f>
        <v/>
      </c>
      <c r="I17" s="19">
        <f>IF(AND(ISNUMBER(SEARCH(","&amp;I$1&amp;",",","&amp;SUBSTITUTE(Catalogo!$F17," ","")&amp;",")),Catalogo!$H17&lt;&gt;"N"),"●","")</f>
        <v/>
      </c>
      <c r="J17" s="19">
        <f>IF(AND(ISNUMBER(SEARCH(","&amp;J$1&amp;",",","&amp;SUBSTITUTE(Catalogo!$F17," ","")&amp;",")),Catalogo!$H17&lt;&gt;"N"),"●","")</f>
        <v/>
      </c>
      <c r="K17" s="19">
        <f>IF(AND(ISNUMBER(SEARCH(","&amp;K$1&amp;",",","&amp;SUBSTITUTE(Catalogo!$F17," ","")&amp;",")),Catalogo!$H17&lt;&gt;"N"),"●","")</f>
        <v/>
      </c>
      <c r="L17" s="19">
        <f>IF(AND(ISNUMBER(SEARCH(","&amp;L$1&amp;",",","&amp;SUBSTITUTE(Catalogo!$F17," ","")&amp;",")),Catalogo!$H17&lt;&gt;"N"),"●","")</f>
        <v/>
      </c>
      <c r="M17" s="19">
        <f>IF(AND(ISNUMBER(SEARCH(","&amp;M$1&amp;",",","&amp;SUBSTITUTE(Catalogo!$F17," ","")&amp;",")),Catalogo!$H17&lt;&gt;"N"),"●","")</f>
        <v/>
      </c>
    </row>
    <row r="18">
      <c r="A18" s="17">
        <f>Catalogo!A18</f>
        <v/>
      </c>
      <c r="B18" s="17">
        <f>Catalogo!C18</f>
        <v/>
      </c>
      <c r="C18" s="19">
        <f>IF(Catalogo!H18="","(vazio)",Catalogo!H18)</f>
        <v/>
      </c>
      <c r="D18" s="19">
        <f>IF(AND(ISNUMBER(SEARCH(","&amp;D$1&amp;",",","&amp;SUBSTITUTE(Catalogo!$F18," ","")&amp;",")),Catalogo!$H18&lt;&gt;"N"),"●","")</f>
        <v/>
      </c>
      <c r="E18" s="19">
        <f>IF(AND(ISNUMBER(SEARCH(","&amp;E$1&amp;",",","&amp;SUBSTITUTE(Catalogo!$F18," ","")&amp;",")),Catalogo!$H18&lt;&gt;"N"),"●","")</f>
        <v/>
      </c>
      <c r="F18" s="19">
        <f>IF(AND(ISNUMBER(SEARCH(","&amp;F$1&amp;",",","&amp;SUBSTITUTE(Catalogo!$F18," ","")&amp;",")),Catalogo!$H18&lt;&gt;"N"),"●","")</f>
        <v/>
      </c>
      <c r="G18" s="19">
        <f>IF(AND(ISNUMBER(SEARCH(","&amp;G$1&amp;",",","&amp;SUBSTITUTE(Catalogo!$F18," ","")&amp;",")),Catalogo!$H18&lt;&gt;"N"),"●","")</f>
        <v/>
      </c>
      <c r="H18" s="19">
        <f>IF(AND(ISNUMBER(SEARCH(","&amp;H$1&amp;",",","&amp;SUBSTITUTE(Catalogo!$F18," ","")&amp;",")),Catalogo!$H18&lt;&gt;"N"),"●","")</f>
        <v/>
      </c>
      <c r="I18" s="19">
        <f>IF(AND(ISNUMBER(SEARCH(","&amp;I$1&amp;",",","&amp;SUBSTITUTE(Catalogo!$F18," ","")&amp;",")),Catalogo!$H18&lt;&gt;"N"),"●","")</f>
        <v/>
      </c>
      <c r="J18" s="19">
        <f>IF(AND(ISNUMBER(SEARCH(","&amp;J$1&amp;",",","&amp;SUBSTITUTE(Catalogo!$F18," ","")&amp;",")),Catalogo!$H18&lt;&gt;"N"),"●","")</f>
        <v/>
      </c>
      <c r="K18" s="19">
        <f>IF(AND(ISNUMBER(SEARCH(","&amp;K$1&amp;",",","&amp;SUBSTITUTE(Catalogo!$F18," ","")&amp;",")),Catalogo!$H18&lt;&gt;"N"),"●","")</f>
        <v/>
      </c>
      <c r="L18" s="19">
        <f>IF(AND(ISNUMBER(SEARCH(","&amp;L$1&amp;",",","&amp;SUBSTITUTE(Catalogo!$F18," ","")&amp;",")),Catalogo!$H18&lt;&gt;"N"),"●","")</f>
        <v/>
      </c>
      <c r="M18" s="19">
        <f>IF(AND(ISNUMBER(SEARCH(","&amp;M$1&amp;",",","&amp;SUBSTITUTE(Catalogo!$F18," ","")&amp;",")),Catalogo!$H18&lt;&gt;"N"),"●","")</f>
        <v/>
      </c>
    </row>
    <row r="19">
      <c r="A19" s="17">
        <f>Catalogo!A19</f>
        <v/>
      </c>
      <c r="B19" s="17">
        <f>Catalogo!C19</f>
        <v/>
      </c>
      <c r="C19" s="19">
        <f>IF(Catalogo!H19="","(vazio)",Catalogo!H19)</f>
        <v/>
      </c>
      <c r="D19" s="19">
        <f>IF(AND(ISNUMBER(SEARCH(","&amp;D$1&amp;",",","&amp;SUBSTITUTE(Catalogo!$F19," ","")&amp;",")),Catalogo!$H19&lt;&gt;"N"),"●","")</f>
        <v/>
      </c>
      <c r="E19" s="19">
        <f>IF(AND(ISNUMBER(SEARCH(","&amp;E$1&amp;",",","&amp;SUBSTITUTE(Catalogo!$F19," ","")&amp;",")),Catalogo!$H19&lt;&gt;"N"),"●","")</f>
        <v/>
      </c>
      <c r="F19" s="19">
        <f>IF(AND(ISNUMBER(SEARCH(","&amp;F$1&amp;",",","&amp;SUBSTITUTE(Catalogo!$F19," ","")&amp;",")),Catalogo!$H19&lt;&gt;"N"),"●","")</f>
        <v/>
      </c>
      <c r="G19" s="19">
        <f>IF(AND(ISNUMBER(SEARCH(","&amp;G$1&amp;",",","&amp;SUBSTITUTE(Catalogo!$F19," ","")&amp;",")),Catalogo!$H19&lt;&gt;"N"),"●","")</f>
        <v/>
      </c>
      <c r="H19" s="19">
        <f>IF(AND(ISNUMBER(SEARCH(","&amp;H$1&amp;",",","&amp;SUBSTITUTE(Catalogo!$F19," ","")&amp;",")),Catalogo!$H19&lt;&gt;"N"),"●","")</f>
        <v/>
      </c>
      <c r="I19" s="19">
        <f>IF(AND(ISNUMBER(SEARCH(","&amp;I$1&amp;",",","&amp;SUBSTITUTE(Catalogo!$F19," ","")&amp;",")),Catalogo!$H19&lt;&gt;"N"),"●","")</f>
        <v/>
      </c>
      <c r="J19" s="19">
        <f>IF(AND(ISNUMBER(SEARCH(","&amp;J$1&amp;",",","&amp;SUBSTITUTE(Catalogo!$F19," ","")&amp;",")),Catalogo!$H19&lt;&gt;"N"),"●","")</f>
        <v/>
      </c>
      <c r="K19" s="19">
        <f>IF(AND(ISNUMBER(SEARCH(","&amp;K$1&amp;",",","&amp;SUBSTITUTE(Catalogo!$F19," ","")&amp;",")),Catalogo!$H19&lt;&gt;"N"),"●","")</f>
        <v/>
      </c>
      <c r="L19" s="19">
        <f>IF(AND(ISNUMBER(SEARCH(","&amp;L$1&amp;",",","&amp;SUBSTITUTE(Catalogo!$F19," ","")&amp;",")),Catalogo!$H19&lt;&gt;"N"),"●","")</f>
        <v/>
      </c>
      <c r="M19" s="19">
        <f>IF(AND(ISNUMBER(SEARCH(","&amp;M$1&amp;",",","&amp;SUBSTITUTE(Catalogo!$F19," ","")&amp;",")),Catalogo!$H19&lt;&gt;"N"),"●","")</f>
        <v/>
      </c>
    </row>
    <row r="20">
      <c r="A20" s="17">
        <f>Catalogo!A20</f>
        <v/>
      </c>
      <c r="B20" s="17">
        <f>Catalogo!C20</f>
        <v/>
      </c>
      <c r="C20" s="19">
        <f>IF(Catalogo!H20="","(vazio)",Catalogo!H20)</f>
        <v/>
      </c>
      <c r="D20" s="19">
        <f>IF(AND(ISNUMBER(SEARCH(","&amp;D$1&amp;",",","&amp;SUBSTITUTE(Catalogo!$F20," ","")&amp;",")),Catalogo!$H20&lt;&gt;"N"),"●","")</f>
        <v/>
      </c>
      <c r="E20" s="19">
        <f>IF(AND(ISNUMBER(SEARCH(","&amp;E$1&amp;",",","&amp;SUBSTITUTE(Catalogo!$F20," ","")&amp;",")),Catalogo!$H20&lt;&gt;"N"),"●","")</f>
        <v/>
      </c>
      <c r="F20" s="19">
        <f>IF(AND(ISNUMBER(SEARCH(","&amp;F$1&amp;",",","&amp;SUBSTITUTE(Catalogo!$F20," ","")&amp;",")),Catalogo!$H20&lt;&gt;"N"),"●","")</f>
        <v/>
      </c>
      <c r="G20" s="19">
        <f>IF(AND(ISNUMBER(SEARCH(","&amp;G$1&amp;",",","&amp;SUBSTITUTE(Catalogo!$F20," ","")&amp;",")),Catalogo!$H20&lt;&gt;"N"),"●","")</f>
        <v/>
      </c>
      <c r="H20" s="19">
        <f>IF(AND(ISNUMBER(SEARCH(","&amp;H$1&amp;",",","&amp;SUBSTITUTE(Catalogo!$F20," ","")&amp;",")),Catalogo!$H20&lt;&gt;"N"),"●","")</f>
        <v/>
      </c>
      <c r="I20" s="19">
        <f>IF(AND(ISNUMBER(SEARCH(","&amp;I$1&amp;",",","&amp;SUBSTITUTE(Catalogo!$F20," ","")&amp;",")),Catalogo!$H20&lt;&gt;"N"),"●","")</f>
        <v/>
      </c>
      <c r="J20" s="19">
        <f>IF(AND(ISNUMBER(SEARCH(","&amp;J$1&amp;",",","&amp;SUBSTITUTE(Catalogo!$F20," ","")&amp;",")),Catalogo!$H20&lt;&gt;"N"),"●","")</f>
        <v/>
      </c>
      <c r="K20" s="19">
        <f>IF(AND(ISNUMBER(SEARCH(","&amp;K$1&amp;",",","&amp;SUBSTITUTE(Catalogo!$F20," ","")&amp;",")),Catalogo!$H20&lt;&gt;"N"),"●","")</f>
        <v/>
      </c>
      <c r="L20" s="19">
        <f>IF(AND(ISNUMBER(SEARCH(","&amp;L$1&amp;",",","&amp;SUBSTITUTE(Catalogo!$F20," ","")&amp;",")),Catalogo!$H20&lt;&gt;"N"),"●","")</f>
        <v/>
      </c>
      <c r="M20" s="19">
        <f>IF(AND(ISNUMBER(SEARCH(","&amp;M$1&amp;",",","&amp;SUBSTITUTE(Catalogo!$F20," ","")&amp;",")),Catalogo!$H20&lt;&gt;"N"),"●","")</f>
        <v/>
      </c>
    </row>
    <row r="21">
      <c r="A21" s="17">
        <f>Catalogo!A21</f>
        <v/>
      </c>
      <c r="B21" s="17">
        <f>Catalogo!C21</f>
        <v/>
      </c>
      <c r="C21" s="19">
        <f>IF(Catalogo!H21="","(vazio)",Catalogo!H21)</f>
        <v/>
      </c>
      <c r="D21" s="19">
        <f>IF(AND(ISNUMBER(SEARCH(","&amp;D$1&amp;",",","&amp;SUBSTITUTE(Catalogo!$F21," ","")&amp;",")),Catalogo!$H21&lt;&gt;"N"),"●","")</f>
        <v/>
      </c>
      <c r="E21" s="19">
        <f>IF(AND(ISNUMBER(SEARCH(","&amp;E$1&amp;",",","&amp;SUBSTITUTE(Catalogo!$F21," ","")&amp;",")),Catalogo!$H21&lt;&gt;"N"),"●","")</f>
        <v/>
      </c>
      <c r="F21" s="19">
        <f>IF(AND(ISNUMBER(SEARCH(","&amp;F$1&amp;",",","&amp;SUBSTITUTE(Catalogo!$F21," ","")&amp;",")),Catalogo!$H21&lt;&gt;"N"),"●","")</f>
        <v/>
      </c>
      <c r="G21" s="19">
        <f>IF(AND(ISNUMBER(SEARCH(","&amp;G$1&amp;",",","&amp;SUBSTITUTE(Catalogo!$F21," ","")&amp;",")),Catalogo!$H21&lt;&gt;"N"),"●","")</f>
        <v/>
      </c>
      <c r="H21" s="19">
        <f>IF(AND(ISNUMBER(SEARCH(","&amp;H$1&amp;",",","&amp;SUBSTITUTE(Catalogo!$F21," ","")&amp;",")),Catalogo!$H21&lt;&gt;"N"),"●","")</f>
        <v/>
      </c>
      <c r="I21" s="19">
        <f>IF(AND(ISNUMBER(SEARCH(","&amp;I$1&amp;",",","&amp;SUBSTITUTE(Catalogo!$F21," ","")&amp;",")),Catalogo!$H21&lt;&gt;"N"),"●","")</f>
        <v/>
      </c>
      <c r="J21" s="19">
        <f>IF(AND(ISNUMBER(SEARCH(","&amp;J$1&amp;",",","&amp;SUBSTITUTE(Catalogo!$F21," ","")&amp;",")),Catalogo!$H21&lt;&gt;"N"),"●","")</f>
        <v/>
      </c>
      <c r="K21" s="19">
        <f>IF(AND(ISNUMBER(SEARCH(","&amp;K$1&amp;",",","&amp;SUBSTITUTE(Catalogo!$F21," ","")&amp;",")),Catalogo!$H21&lt;&gt;"N"),"●","")</f>
        <v/>
      </c>
      <c r="L21" s="19">
        <f>IF(AND(ISNUMBER(SEARCH(","&amp;L$1&amp;",",","&amp;SUBSTITUTE(Catalogo!$F21," ","")&amp;",")),Catalogo!$H21&lt;&gt;"N"),"●","")</f>
        <v/>
      </c>
      <c r="M21" s="19">
        <f>IF(AND(ISNUMBER(SEARCH(","&amp;M$1&amp;",",","&amp;SUBSTITUTE(Catalogo!$F21," ","")&amp;",")),Catalogo!$H21&lt;&gt;"N"),"●","")</f>
        <v/>
      </c>
    </row>
    <row r="22">
      <c r="A22" s="17">
        <f>Catalogo!A22</f>
        <v/>
      </c>
      <c r="B22" s="17">
        <f>Catalogo!C22</f>
        <v/>
      </c>
      <c r="C22" s="19">
        <f>IF(Catalogo!H22="","(vazio)",Catalogo!H22)</f>
        <v/>
      </c>
      <c r="D22" s="19">
        <f>IF(AND(ISNUMBER(SEARCH(","&amp;D$1&amp;",",","&amp;SUBSTITUTE(Catalogo!$F22," ","")&amp;",")),Catalogo!$H22&lt;&gt;"N"),"●","")</f>
        <v/>
      </c>
      <c r="E22" s="19">
        <f>IF(AND(ISNUMBER(SEARCH(","&amp;E$1&amp;",",","&amp;SUBSTITUTE(Catalogo!$F22," ","")&amp;",")),Catalogo!$H22&lt;&gt;"N"),"●","")</f>
        <v/>
      </c>
      <c r="F22" s="19">
        <f>IF(AND(ISNUMBER(SEARCH(","&amp;F$1&amp;",",","&amp;SUBSTITUTE(Catalogo!$F22," ","")&amp;",")),Catalogo!$H22&lt;&gt;"N"),"●","")</f>
        <v/>
      </c>
      <c r="G22" s="19">
        <f>IF(AND(ISNUMBER(SEARCH(","&amp;G$1&amp;",",","&amp;SUBSTITUTE(Catalogo!$F22," ","")&amp;",")),Catalogo!$H22&lt;&gt;"N"),"●","")</f>
        <v/>
      </c>
      <c r="H22" s="19">
        <f>IF(AND(ISNUMBER(SEARCH(","&amp;H$1&amp;",",","&amp;SUBSTITUTE(Catalogo!$F22," ","")&amp;",")),Catalogo!$H22&lt;&gt;"N"),"●","")</f>
        <v/>
      </c>
      <c r="I22" s="19">
        <f>IF(AND(ISNUMBER(SEARCH(","&amp;I$1&amp;",",","&amp;SUBSTITUTE(Catalogo!$F22," ","")&amp;",")),Catalogo!$H22&lt;&gt;"N"),"●","")</f>
        <v/>
      </c>
      <c r="J22" s="19">
        <f>IF(AND(ISNUMBER(SEARCH(","&amp;J$1&amp;",",","&amp;SUBSTITUTE(Catalogo!$F22," ","")&amp;",")),Catalogo!$H22&lt;&gt;"N"),"●","")</f>
        <v/>
      </c>
      <c r="K22" s="19">
        <f>IF(AND(ISNUMBER(SEARCH(","&amp;K$1&amp;",",","&amp;SUBSTITUTE(Catalogo!$F22," ","")&amp;",")),Catalogo!$H22&lt;&gt;"N"),"●","")</f>
        <v/>
      </c>
      <c r="L22" s="19">
        <f>IF(AND(ISNUMBER(SEARCH(","&amp;L$1&amp;",",","&amp;SUBSTITUTE(Catalogo!$F22," ","")&amp;",")),Catalogo!$H22&lt;&gt;"N"),"●","")</f>
        <v/>
      </c>
      <c r="M22" s="19">
        <f>IF(AND(ISNUMBER(SEARCH(","&amp;M$1&amp;",",","&amp;SUBSTITUTE(Catalogo!$F22," ","")&amp;",")),Catalogo!$H22&lt;&gt;"N"),"●","")</f>
        <v/>
      </c>
    </row>
    <row r="23">
      <c r="A23" s="17">
        <f>Catalogo!A23</f>
        <v/>
      </c>
      <c r="B23" s="17">
        <f>Catalogo!C23</f>
        <v/>
      </c>
      <c r="C23" s="19">
        <f>IF(Catalogo!H23="","(vazio)",Catalogo!H23)</f>
        <v/>
      </c>
      <c r="D23" s="19">
        <f>IF(AND(ISNUMBER(SEARCH(","&amp;D$1&amp;",",","&amp;SUBSTITUTE(Catalogo!$F23," ","")&amp;",")),Catalogo!$H23&lt;&gt;"N"),"●","")</f>
        <v/>
      </c>
      <c r="E23" s="19">
        <f>IF(AND(ISNUMBER(SEARCH(","&amp;E$1&amp;",",","&amp;SUBSTITUTE(Catalogo!$F23," ","")&amp;",")),Catalogo!$H23&lt;&gt;"N"),"●","")</f>
        <v/>
      </c>
      <c r="F23" s="19">
        <f>IF(AND(ISNUMBER(SEARCH(","&amp;F$1&amp;",",","&amp;SUBSTITUTE(Catalogo!$F23," ","")&amp;",")),Catalogo!$H23&lt;&gt;"N"),"●","")</f>
        <v/>
      </c>
      <c r="G23" s="19">
        <f>IF(AND(ISNUMBER(SEARCH(","&amp;G$1&amp;",",","&amp;SUBSTITUTE(Catalogo!$F23," ","")&amp;",")),Catalogo!$H23&lt;&gt;"N"),"●","")</f>
        <v/>
      </c>
      <c r="H23" s="19">
        <f>IF(AND(ISNUMBER(SEARCH(","&amp;H$1&amp;",",","&amp;SUBSTITUTE(Catalogo!$F23," ","")&amp;",")),Catalogo!$H23&lt;&gt;"N"),"●","")</f>
        <v/>
      </c>
      <c r="I23" s="19">
        <f>IF(AND(ISNUMBER(SEARCH(","&amp;I$1&amp;",",","&amp;SUBSTITUTE(Catalogo!$F23," ","")&amp;",")),Catalogo!$H23&lt;&gt;"N"),"●","")</f>
        <v/>
      </c>
      <c r="J23" s="19">
        <f>IF(AND(ISNUMBER(SEARCH(","&amp;J$1&amp;",",","&amp;SUBSTITUTE(Catalogo!$F23," ","")&amp;",")),Catalogo!$H23&lt;&gt;"N"),"●","")</f>
        <v/>
      </c>
      <c r="K23" s="19">
        <f>IF(AND(ISNUMBER(SEARCH(","&amp;K$1&amp;",",","&amp;SUBSTITUTE(Catalogo!$F23," ","")&amp;",")),Catalogo!$H23&lt;&gt;"N"),"●","")</f>
        <v/>
      </c>
      <c r="L23" s="19">
        <f>IF(AND(ISNUMBER(SEARCH(","&amp;L$1&amp;",",","&amp;SUBSTITUTE(Catalogo!$F23," ","")&amp;",")),Catalogo!$H23&lt;&gt;"N"),"●","")</f>
        <v/>
      </c>
      <c r="M23" s="19">
        <f>IF(AND(ISNUMBER(SEARCH(","&amp;M$1&amp;",",","&amp;SUBSTITUTE(Catalogo!$F23," ","")&amp;",")),Catalogo!$H23&lt;&gt;"N"),"●","")</f>
        <v/>
      </c>
    </row>
    <row r="24">
      <c r="A24" s="17">
        <f>Catalogo!A24</f>
        <v/>
      </c>
      <c r="B24" s="17">
        <f>Catalogo!C24</f>
        <v/>
      </c>
      <c r="C24" s="19">
        <f>IF(Catalogo!H24="","(vazio)",Catalogo!H24)</f>
        <v/>
      </c>
      <c r="D24" s="19">
        <f>IF(AND(ISNUMBER(SEARCH(","&amp;D$1&amp;",",","&amp;SUBSTITUTE(Catalogo!$F24," ","")&amp;",")),Catalogo!$H24&lt;&gt;"N"),"●","")</f>
        <v/>
      </c>
      <c r="E24" s="19">
        <f>IF(AND(ISNUMBER(SEARCH(","&amp;E$1&amp;",",","&amp;SUBSTITUTE(Catalogo!$F24," ","")&amp;",")),Catalogo!$H24&lt;&gt;"N"),"●","")</f>
        <v/>
      </c>
      <c r="F24" s="19">
        <f>IF(AND(ISNUMBER(SEARCH(","&amp;F$1&amp;",",","&amp;SUBSTITUTE(Catalogo!$F24," ","")&amp;",")),Catalogo!$H24&lt;&gt;"N"),"●","")</f>
        <v/>
      </c>
      <c r="G24" s="19">
        <f>IF(AND(ISNUMBER(SEARCH(","&amp;G$1&amp;",",","&amp;SUBSTITUTE(Catalogo!$F24," ","")&amp;",")),Catalogo!$H24&lt;&gt;"N"),"●","")</f>
        <v/>
      </c>
      <c r="H24" s="19">
        <f>IF(AND(ISNUMBER(SEARCH(","&amp;H$1&amp;",",","&amp;SUBSTITUTE(Catalogo!$F24," ","")&amp;",")),Catalogo!$H24&lt;&gt;"N"),"●","")</f>
        <v/>
      </c>
      <c r="I24" s="19">
        <f>IF(AND(ISNUMBER(SEARCH(","&amp;I$1&amp;",",","&amp;SUBSTITUTE(Catalogo!$F24," ","")&amp;",")),Catalogo!$H24&lt;&gt;"N"),"●","")</f>
        <v/>
      </c>
      <c r="J24" s="19">
        <f>IF(AND(ISNUMBER(SEARCH(","&amp;J$1&amp;",",","&amp;SUBSTITUTE(Catalogo!$F24," ","")&amp;",")),Catalogo!$H24&lt;&gt;"N"),"●","")</f>
        <v/>
      </c>
      <c r="K24" s="19">
        <f>IF(AND(ISNUMBER(SEARCH(","&amp;K$1&amp;",",","&amp;SUBSTITUTE(Catalogo!$F24," ","")&amp;",")),Catalogo!$H24&lt;&gt;"N"),"●","")</f>
        <v/>
      </c>
      <c r="L24" s="19">
        <f>IF(AND(ISNUMBER(SEARCH(","&amp;L$1&amp;",",","&amp;SUBSTITUTE(Catalogo!$F24," ","")&amp;",")),Catalogo!$H24&lt;&gt;"N"),"●","")</f>
        <v/>
      </c>
      <c r="M24" s="19">
        <f>IF(AND(ISNUMBER(SEARCH(","&amp;M$1&amp;",",","&amp;SUBSTITUTE(Catalogo!$F24," ","")&amp;",")),Catalogo!$H24&lt;&gt;"N"),"●","")</f>
        <v/>
      </c>
    </row>
    <row r="25">
      <c r="A25" s="17">
        <f>Catalogo!A25</f>
        <v/>
      </c>
      <c r="B25" s="17">
        <f>Catalogo!C25</f>
        <v/>
      </c>
      <c r="C25" s="19">
        <f>IF(Catalogo!H25="","(vazio)",Catalogo!H25)</f>
        <v/>
      </c>
      <c r="D25" s="19">
        <f>IF(AND(ISNUMBER(SEARCH(","&amp;D$1&amp;",",","&amp;SUBSTITUTE(Catalogo!$F25," ","")&amp;",")),Catalogo!$H25&lt;&gt;"N"),"●","")</f>
        <v/>
      </c>
      <c r="E25" s="19">
        <f>IF(AND(ISNUMBER(SEARCH(","&amp;E$1&amp;",",","&amp;SUBSTITUTE(Catalogo!$F25," ","")&amp;",")),Catalogo!$H25&lt;&gt;"N"),"●","")</f>
        <v/>
      </c>
      <c r="F25" s="19">
        <f>IF(AND(ISNUMBER(SEARCH(","&amp;F$1&amp;",",","&amp;SUBSTITUTE(Catalogo!$F25," ","")&amp;",")),Catalogo!$H25&lt;&gt;"N"),"●","")</f>
        <v/>
      </c>
      <c r="G25" s="19">
        <f>IF(AND(ISNUMBER(SEARCH(","&amp;G$1&amp;",",","&amp;SUBSTITUTE(Catalogo!$F25," ","")&amp;",")),Catalogo!$H25&lt;&gt;"N"),"●","")</f>
        <v/>
      </c>
      <c r="H25" s="19">
        <f>IF(AND(ISNUMBER(SEARCH(","&amp;H$1&amp;",",","&amp;SUBSTITUTE(Catalogo!$F25," ","")&amp;",")),Catalogo!$H25&lt;&gt;"N"),"●","")</f>
        <v/>
      </c>
      <c r="I25" s="19">
        <f>IF(AND(ISNUMBER(SEARCH(","&amp;I$1&amp;",",","&amp;SUBSTITUTE(Catalogo!$F25," ","")&amp;",")),Catalogo!$H25&lt;&gt;"N"),"●","")</f>
        <v/>
      </c>
      <c r="J25" s="19">
        <f>IF(AND(ISNUMBER(SEARCH(","&amp;J$1&amp;",",","&amp;SUBSTITUTE(Catalogo!$F25," ","")&amp;",")),Catalogo!$H25&lt;&gt;"N"),"●","")</f>
        <v/>
      </c>
      <c r="K25" s="19">
        <f>IF(AND(ISNUMBER(SEARCH(","&amp;K$1&amp;",",","&amp;SUBSTITUTE(Catalogo!$F25," ","")&amp;",")),Catalogo!$H25&lt;&gt;"N"),"●","")</f>
        <v/>
      </c>
      <c r="L25" s="19">
        <f>IF(AND(ISNUMBER(SEARCH(","&amp;L$1&amp;",",","&amp;SUBSTITUTE(Catalogo!$F25," ","")&amp;",")),Catalogo!$H25&lt;&gt;"N"),"●","")</f>
        <v/>
      </c>
      <c r="M25" s="19">
        <f>IF(AND(ISNUMBER(SEARCH(","&amp;M$1&amp;",",","&amp;SUBSTITUTE(Catalogo!$F25," ","")&amp;",")),Catalogo!$H25&lt;&gt;"N"),"●","")</f>
        <v/>
      </c>
    </row>
    <row r="26">
      <c r="A26" s="17">
        <f>Catalogo!A26</f>
        <v/>
      </c>
      <c r="B26" s="17">
        <f>Catalogo!C26</f>
        <v/>
      </c>
      <c r="C26" s="19">
        <f>IF(Catalogo!H26="","(vazio)",Catalogo!H26)</f>
        <v/>
      </c>
      <c r="D26" s="19">
        <f>IF(AND(ISNUMBER(SEARCH(","&amp;D$1&amp;",",","&amp;SUBSTITUTE(Catalogo!$F26," ","")&amp;",")),Catalogo!$H26&lt;&gt;"N"),"●","")</f>
        <v/>
      </c>
      <c r="E26" s="19">
        <f>IF(AND(ISNUMBER(SEARCH(","&amp;E$1&amp;",",","&amp;SUBSTITUTE(Catalogo!$F26," ","")&amp;",")),Catalogo!$H26&lt;&gt;"N"),"●","")</f>
        <v/>
      </c>
      <c r="F26" s="19">
        <f>IF(AND(ISNUMBER(SEARCH(","&amp;F$1&amp;",",","&amp;SUBSTITUTE(Catalogo!$F26," ","")&amp;",")),Catalogo!$H26&lt;&gt;"N"),"●","")</f>
        <v/>
      </c>
      <c r="G26" s="19">
        <f>IF(AND(ISNUMBER(SEARCH(","&amp;G$1&amp;",",","&amp;SUBSTITUTE(Catalogo!$F26," ","")&amp;",")),Catalogo!$H26&lt;&gt;"N"),"●","")</f>
        <v/>
      </c>
      <c r="H26" s="19">
        <f>IF(AND(ISNUMBER(SEARCH(","&amp;H$1&amp;",",","&amp;SUBSTITUTE(Catalogo!$F26," ","")&amp;",")),Catalogo!$H26&lt;&gt;"N"),"●","")</f>
        <v/>
      </c>
      <c r="I26" s="19">
        <f>IF(AND(ISNUMBER(SEARCH(","&amp;I$1&amp;",",","&amp;SUBSTITUTE(Catalogo!$F26," ","")&amp;",")),Catalogo!$H26&lt;&gt;"N"),"●","")</f>
        <v/>
      </c>
      <c r="J26" s="19">
        <f>IF(AND(ISNUMBER(SEARCH(","&amp;J$1&amp;",",","&amp;SUBSTITUTE(Catalogo!$F26," ","")&amp;",")),Catalogo!$H26&lt;&gt;"N"),"●","")</f>
        <v/>
      </c>
      <c r="K26" s="19">
        <f>IF(AND(ISNUMBER(SEARCH(","&amp;K$1&amp;",",","&amp;SUBSTITUTE(Catalogo!$F26," ","")&amp;",")),Catalogo!$H26&lt;&gt;"N"),"●","")</f>
        <v/>
      </c>
      <c r="L26" s="19">
        <f>IF(AND(ISNUMBER(SEARCH(","&amp;L$1&amp;",",","&amp;SUBSTITUTE(Catalogo!$F26," ","")&amp;",")),Catalogo!$H26&lt;&gt;"N"),"●","")</f>
        <v/>
      </c>
      <c r="M26" s="19">
        <f>IF(AND(ISNUMBER(SEARCH(","&amp;M$1&amp;",",","&amp;SUBSTITUTE(Catalogo!$F26," ","")&amp;",")),Catalogo!$H26&lt;&gt;"N"),"●","")</f>
        <v/>
      </c>
    </row>
    <row r="27">
      <c r="A27" s="17">
        <f>Catalogo!A27</f>
        <v/>
      </c>
      <c r="B27" s="17">
        <f>Catalogo!C27</f>
        <v/>
      </c>
      <c r="C27" s="19">
        <f>IF(Catalogo!H27="","(vazio)",Catalogo!H27)</f>
        <v/>
      </c>
      <c r="D27" s="19">
        <f>IF(AND(ISNUMBER(SEARCH(","&amp;D$1&amp;",",","&amp;SUBSTITUTE(Catalogo!$F27," ","")&amp;",")),Catalogo!$H27&lt;&gt;"N"),"●","")</f>
        <v/>
      </c>
      <c r="E27" s="19">
        <f>IF(AND(ISNUMBER(SEARCH(","&amp;E$1&amp;",",","&amp;SUBSTITUTE(Catalogo!$F27," ","")&amp;",")),Catalogo!$H27&lt;&gt;"N"),"●","")</f>
        <v/>
      </c>
      <c r="F27" s="19">
        <f>IF(AND(ISNUMBER(SEARCH(","&amp;F$1&amp;",",","&amp;SUBSTITUTE(Catalogo!$F27," ","")&amp;",")),Catalogo!$H27&lt;&gt;"N"),"●","")</f>
        <v/>
      </c>
      <c r="G27" s="19">
        <f>IF(AND(ISNUMBER(SEARCH(","&amp;G$1&amp;",",","&amp;SUBSTITUTE(Catalogo!$F27," ","")&amp;",")),Catalogo!$H27&lt;&gt;"N"),"●","")</f>
        <v/>
      </c>
      <c r="H27" s="19">
        <f>IF(AND(ISNUMBER(SEARCH(","&amp;H$1&amp;",",","&amp;SUBSTITUTE(Catalogo!$F27," ","")&amp;",")),Catalogo!$H27&lt;&gt;"N"),"●","")</f>
        <v/>
      </c>
      <c r="I27" s="19">
        <f>IF(AND(ISNUMBER(SEARCH(","&amp;I$1&amp;",",","&amp;SUBSTITUTE(Catalogo!$F27," ","")&amp;",")),Catalogo!$H27&lt;&gt;"N"),"●","")</f>
        <v/>
      </c>
      <c r="J27" s="19">
        <f>IF(AND(ISNUMBER(SEARCH(","&amp;J$1&amp;",",","&amp;SUBSTITUTE(Catalogo!$F27," ","")&amp;",")),Catalogo!$H27&lt;&gt;"N"),"●","")</f>
        <v/>
      </c>
      <c r="K27" s="19">
        <f>IF(AND(ISNUMBER(SEARCH(","&amp;K$1&amp;",",","&amp;SUBSTITUTE(Catalogo!$F27," ","")&amp;",")),Catalogo!$H27&lt;&gt;"N"),"●","")</f>
        <v/>
      </c>
      <c r="L27" s="19">
        <f>IF(AND(ISNUMBER(SEARCH(","&amp;L$1&amp;",",","&amp;SUBSTITUTE(Catalogo!$F27," ","")&amp;",")),Catalogo!$H27&lt;&gt;"N"),"●","")</f>
        <v/>
      </c>
      <c r="M27" s="19">
        <f>IF(AND(ISNUMBER(SEARCH(","&amp;M$1&amp;",",","&amp;SUBSTITUTE(Catalogo!$F27," ","")&amp;",")),Catalogo!$H27&lt;&gt;"N"),"●","")</f>
        <v/>
      </c>
    </row>
    <row r="28">
      <c r="A28" s="17">
        <f>Catalogo!A28</f>
        <v/>
      </c>
      <c r="B28" s="17">
        <f>Catalogo!C28</f>
        <v/>
      </c>
      <c r="C28" s="19">
        <f>IF(Catalogo!H28="","(vazio)",Catalogo!H28)</f>
        <v/>
      </c>
      <c r="D28" s="19">
        <f>IF(AND(ISNUMBER(SEARCH(","&amp;D$1&amp;",",","&amp;SUBSTITUTE(Catalogo!$F28," ","")&amp;",")),Catalogo!$H28&lt;&gt;"N"),"●","")</f>
        <v/>
      </c>
      <c r="E28" s="19">
        <f>IF(AND(ISNUMBER(SEARCH(","&amp;E$1&amp;",",","&amp;SUBSTITUTE(Catalogo!$F28," ","")&amp;",")),Catalogo!$H28&lt;&gt;"N"),"●","")</f>
        <v/>
      </c>
      <c r="F28" s="19">
        <f>IF(AND(ISNUMBER(SEARCH(","&amp;F$1&amp;",",","&amp;SUBSTITUTE(Catalogo!$F28," ","")&amp;",")),Catalogo!$H28&lt;&gt;"N"),"●","")</f>
        <v/>
      </c>
      <c r="G28" s="19">
        <f>IF(AND(ISNUMBER(SEARCH(","&amp;G$1&amp;",",","&amp;SUBSTITUTE(Catalogo!$F28," ","")&amp;",")),Catalogo!$H28&lt;&gt;"N"),"●","")</f>
        <v/>
      </c>
      <c r="H28" s="19">
        <f>IF(AND(ISNUMBER(SEARCH(","&amp;H$1&amp;",",","&amp;SUBSTITUTE(Catalogo!$F28," ","")&amp;",")),Catalogo!$H28&lt;&gt;"N"),"●","")</f>
        <v/>
      </c>
      <c r="I28" s="19">
        <f>IF(AND(ISNUMBER(SEARCH(","&amp;I$1&amp;",",","&amp;SUBSTITUTE(Catalogo!$F28," ","")&amp;",")),Catalogo!$H28&lt;&gt;"N"),"●","")</f>
        <v/>
      </c>
      <c r="J28" s="19">
        <f>IF(AND(ISNUMBER(SEARCH(","&amp;J$1&amp;",",","&amp;SUBSTITUTE(Catalogo!$F28," ","")&amp;",")),Catalogo!$H28&lt;&gt;"N"),"●","")</f>
        <v/>
      </c>
      <c r="K28" s="19">
        <f>IF(AND(ISNUMBER(SEARCH(","&amp;K$1&amp;",",","&amp;SUBSTITUTE(Catalogo!$F28," ","")&amp;",")),Catalogo!$H28&lt;&gt;"N"),"●","")</f>
        <v/>
      </c>
      <c r="L28" s="19">
        <f>IF(AND(ISNUMBER(SEARCH(","&amp;L$1&amp;",",","&amp;SUBSTITUTE(Catalogo!$F28," ","")&amp;",")),Catalogo!$H28&lt;&gt;"N"),"●","")</f>
        <v/>
      </c>
      <c r="M28" s="19">
        <f>IF(AND(ISNUMBER(SEARCH(","&amp;M$1&amp;",",","&amp;SUBSTITUTE(Catalogo!$F28," ","")&amp;",")),Catalogo!$H28&lt;&gt;"N"),"●","")</f>
        <v/>
      </c>
    </row>
    <row r="29">
      <c r="A29" s="17">
        <f>Catalogo!A29</f>
        <v/>
      </c>
      <c r="B29" s="17">
        <f>Catalogo!C29</f>
        <v/>
      </c>
      <c r="C29" s="19">
        <f>IF(Catalogo!H29="","(vazio)",Catalogo!H29)</f>
        <v/>
      </c>
      <c r="D29" s="19">
        <f>IF(AND(ISNUMBER(SEARCH(","&amp;D$1&amp;",",","&amp;SUBSTITUTE(Catalogo!$F29," ","")&amp;",")),Catalogo!$H29&lt;&gt;"N"),"●","")</f>
        <v/>
      </c>
      <c r="E29" s="19">
        <f>IF(AND(ISNUMBER(SEARCH(","&amp;E$1&amp;",",","&amp;SUBSTITUTE(Catalogo!$F29," ","")&amp;",")),Catalogo!$H29&lt;&gt;"N"),"●","")</f>
        <v/>
      </c>
      <c r="F29" s="19">
        <f>IF(AND(ISNUMBER(SEARCH(","&amp;F$1&amp;",",","&amp;SUBSTITUTE(Catalogo!$F29," ","")&amp;",")),Catalogo!$H29&lt;&gt;"N"),"●","")</f>
        <v/>
      </c>
      <c r="G29" s="19">
        <f>IF(AND(ISNUMBER(SEARCH(","&amp;G$1&amp;",",","&amp;SUBSTITUTE(Catalogo!$F29," ","")&amp;",")),Catalogo!$H29&lt;&gt;"N"),"●","")</f>
        <v/>
      </c>
      <c r="H29" s="19">
        <f>IF(AND(ISNUMBER(SEARCH(","&amp;H$1&amp;",",","&amp;SUBSTITUTE(Catalogo!$F29," ","")&amp;",")),Catalogo!$H29&lt;&gt;"N"),"●","")</f>
        <v/>
      </c>
      <c r="I29" s="19">
        <f>IF(AND(ISNUMBER(SEARCH(","&amp;I$1&amp;",",","&amp;SUBSTITUTE(Catalogo!$F29," ","")&amp;",")),Catalogo!$H29&lt;&gt;"N"),"●","")</f>
        <v/>
      </c>
      <c r="J29" s="19">
        <f>IF(AND(ISNUMBER(SEARCH(","&amp;J$1&amp;",",","&amp;SUBSTITUTE(Catalogo!$F29," ","")&amp;",")),Catalogo!$H29&lt;&gt;"N"),"●","")</f>
        <v/>
      </c>
      <c r="K29" s="19">
        <f>IF(AND(ISNUMBER(SEARCH(","&amp;K$1&amp;",",","&amp;SUBSTITUTE(Catalogo!$F29," ","")&amp;",")),Catalogo!$H29&lt;&gt;"N"),"●","")</f>
        <v/>
      </c>
      <c r="L29" s="19">
        <f>IF(AND(ISNUMBER(SEARCH(","&amp;L$1&amp;",",","&amp;SUBSTITUTE(Catalogo!$F29," ","")&amp;",")),Catalogo!$H29&lt;&gt;"N"),"●","")</f>
        <v/>
      </c>
      <c r="M29" s="19">
        <f>IF(AND(ISNUMBER(SEARCH(","&amp;M$1&amp;",",","&amp;SUBSTITUTE(Catalogo!$F29," ","")&amp;",")),Catalogo!$H29&lt;&gt;"N"),"●","")</f>
        <v/>
      </c>
    </row>
    <row r="30">
      <c r="A30" s="17">
        <f>Catalogo!A30</f>
        <v/>
      </c>
      <c r="B30" s="17">
        <f>Catalogo!C30</f>
        <v/>
      </c>
      <c r="C30" s="19">
        <f>IF(Catalogo!H30="","(vazio)",Catalogo!H30)</f>
        <v/>
      </c>
      <c r="D30" s="19">
        <f>IF(AND(ISNUMBER(SEARCH(","&amp;D$1&amp;",",","&amp;SUBSTITUTE(Catalogo!$F30," ","")&amp;",")),Catalogo!$H30&lt;&gt;"N"),"●","")</f>
        <v/>
      </c>
      <c r="E30" s="19">
        <f>IF(AND(ISNUMBER(SEARCH(","&amp;E$1&amp;",",","&amp;SUBSTITUTE(Catalogo!$F30," ","")&amp;",")),Catalogo!$H30&lt;&gt;"N"),"●","")</f>
        <v/>
      </c>
      <c r="F30" s="19">
        <f>IF(AND(ISNUMBER(SEARCH(","&amp;F$1&amp;",",","&amp;SUBSTITUTE(Catalogo!$F30," ","")&amp;",")),Catalogo!$H30&lt;&gt;"N"),"●","")</f>
        <v/>
      </c>
      <c r="G30" s="19">
        <f>IF(AND(ISNUMBER(SEARCH(","&amp;G$1&amp;",",","&amp;SUBSTITUTE(Catalogo!$F30," ","")&amp;",")),Catalogo!$H30&lt;&gt;"N"),"●","")</f>
        <v/>
      </c>
      <c r="H30" s="19">
        <f>IF(AND(ISNUMBER(SEARCH(","&amp;H$1&amp;",",","&amp;SUBSTITUTE(Catalogo!$F30," ","")&amp;",")),Catalogo!$H30&lt;&gt;"N"),"●","")</f>
        <v/>
      </c>
      <c r="I30" s="19">
        <f>IF(AND(ISNUMBER(SEARCH(","&amp;I$1&amp;",",","&amp;SUBSTITUTE(Catalogo!$F30," ","")&amp;",")),Catalogo!$H30&lt;&gt;"N"),"●","")</f>
        <v/>
      </c>
      <c r="J30" s="19">
        <f>IF(AND(ISNUMBER(SEARCH(","&amp;J$1&amp;",",","&amp;SUBSTITUTE(Catalogo!$F30," ","")&amp;",")),Catalogo!$H30&lt;&gt;"N"),"●","")</f>
        <v/>
      </c>
      <c r="K30" s="19">
        <f>IF(AND(ISNUMBER(SEARCH(","&amp;K$1&amp;",",","&amp;SUBSTITUTE(Catalogo!$F30," ","")&amp;",")),Catalogo!$H30&lt;&gt;"N"),"●","")</f>
        <v/>
      </c>
      <c r="L30" s="19">
        <f>IF(AND(ISNUMBER(SEARCH(","&amp;L$1&amp;",",","&amp;SUBSTITUTE(Catalogo!$F30," ","")&amp;",")),Catalogo!$H30&lt;&gt;"N"),"●","")</f>
        <v/>
      </c>
      <c r="M30" s="19">
        <f>IF(AND(ISNUMBER(SEARCH(","&amp;M$1&amp;",",","&amp;SUBSTITUTE(Catalogo!$F30," ","")&amp;",")),Catalogo!$H30&lt;&gt;"N"),"●","")</f>
        <v/>
      </c>
    </row>
    <row r="31">
      <c r="A31" s="17">
        <f>Catalogo!A31</f>
        <v/>
      </c>
      <c r="B31" s="17">
        <f>Catalogo!C31</f>
        <v/>
      </c>
      <c r="C31" s="19">
        <f>IF(Catalogo!H31="","(vazio)",Catalogo!H31)</f>
        <v/>
      </c>
      <c r="D31" s="19">
        <f>IF(AND(ISNUMBER(SEARCH(","&amp;D$1&amp;",",","&amp;SUBSTITUTE(Catalogo!$F31," ","")&amp;",")),Catalogo!$H31&lt;&gt;"N"),"●","")</f>
        <v/>
      </c>
      <c r="E31" s="19">
        <f>IF(AND(ISNUMBER(SEARCH(","&amp;E$1&amp;",",","&amp;SUBSTITUTE(Catalogo!$F31," ","")&amp;",")),Catalogo!$H31&lt;&gt;"N"),"●","")</f>
        <v/>
      </c>
      <c r="F31" s="19">
        <f>IF(AND(ISNUMBER(SEARCH(","&amp;F$1&amp;",",","&amp;SUBSTITUTE(Catalogo!$F31," ","")&amp;",")),Catalogo!$H31&lt;&gt;"N"),"●","")</f>
        <v/>
      </c>
      <c r="G31" s="19">
        <f>IF(AND(ISNUMBER(SEARCH(","&amp;G$1&amp;",",","&amp;SUBSTITUTE(Catalogo!$F31," ","")&amp;",")),Catalogo!$H31&lt;&gt;"N"),"●","")</f>
        <v/>
      </c>
      <c r="H31" s="19">
        <f>IF(AND(ISNUMBER(SEARCH(","&amp;H$1&amp;",",","&amp;SUBSTITUTE(Catalogo!$F31," ","")&amp;",")),Catalogo!$H31&lt;&gt;"N"),"●","")</f>
        <v/>
      </c>
      <c r="I31" s="19">
        <f>IF(AND(ISNUMBER(SEARCH(","&amp;I$1&amp;",",","&amp;SUBSTITUTE(Catalogo!$F31," ","")&amp;",")),Catalogo!$H31&lt;&gt;"N"),"●","")</f>
        <v/>
      </c>
      <c r="J31" s="19">
        <f>IF(AND(ISNUMBER(SEARCH(","&amp;J$1&amp;",",","&amp;SUBSTITUTE(Catalogo!$F31," ","")&amp;",")),Catalogo!$H31&lt;&gt;"N"),"●","")</f>
        <v/>
      </c>
      <c r="K31" s="19">
        <f>IF(AND(ISNUMBER(SEARCH(","&amp;K$1&amp;",",","&amp;SUBSTITUTE(Catalogo!$F31," ","")&amp;",")),Catalogo!$H31&lt;&gt;"N"),"●","")</f>
        <v/>
      </c>
      <c r="L31" s="19">
        <f>IF(AND(ISNUMBER(SEARCH(","&amp;L$1&amp;",",","&amp;SUBSTITUTE(Catalogo!$F31," ","")&amp;",")),Catalogo!$H31&lt;&gt;"N"),"●","")</f>
        <v/>
      </c>
      <c r="M31" s="19">
        <f>IF(AND(ISNUMBER(SEARCH(","&amp;M$1&amp;",",","&amp;SUBSTITUTE(Catalogo!$F31," ","")&amp;",")),Catalogo!$H31&lt;&gt;"N"),"●","")</f>
        <v/>
      </c>
    </row>
    <row r="32">
      <c r="A32" s="17">
        <f>Catalogo!A32</f>
        <v/>
      </c>
      <c r="B32" s="17">
        <f>Catalogo!C32</f>
        <v/>
      </c>
      <c r="C32" s="19">
        <f>IF(Catalogo!H32="","(vazio)",Catalogo!H32)</f>
        <v/>
      </c>
      <c r="D32" s="19">
        <f>IF(AND(ISNUMBER(SEARCH(","&amp;D$1&amp;",",","&amp;SUBSTITUTE(Catalogo!$F32," ","")&amp;",")),Catalogo!$H32&lt;&gt;"N"),"●","")</f>
        <v/>
      </c>
      <c r="E32" s="19">
        <f>IF(AND(ISNUMBER(SEARCH(","&amp;E$1&amp;",",","&amp;SUBSTITUTE(Catalogo!$F32," ","")&amp;",")),Catalogo!$H32&lt;&gt;"N"),"●","")</f>
        <v/>
      </c>
      <c r="F32" s="19">
        <f>IF(AND(ISNUMBER(SEARCH(","&amp;F$1&amp;",",","&amp;SUBSTITUTE(Catalogo!$F32," ","")&amp;",")),Catalogo!$H32&lt;&gt;"N"),"●","")</f>
        <v/>
      </c>
      <c r="G32" s="19">
        <f>IF(AND(ISNUMBER(SEARCH(","&amp;G$1&amp;",",","&amp;SUBSTITUTE(Catalogo!$F32," ","")&amp;",")),Catalogo!$H32&lt;&gt;"N"),"●","")</f>
        <v/>
      </c>
      <c r="H32" s="19">
        <f>IF(AND(ISNUMBER(SEARCH(","&amp;H$1&amp;",",","&amp;SUBSTITUTE(Catalogo!$F32," ","")&amp;",")),Catalogo!$H32&lt;&gt;"N"),"●","")</f>
        <v/>
      </c>
      <c r="I32" s="19">
        <f>IF(AND(ISNUMBER(SEARCH(","&amp;I$1&amp;",",","&amp;SUBSTITUTE(Catalogo!$F32," ","")&amp;",")),Catalogo!$H32&lt;&gt;"N"),"●","")</f>
        <v/>
      </c>
      <c r="J32" s="19">
        <f>IF(AND(ISNUMBER(SEARCH(","&amp;J$1&amp;",",","&amp;SUBSTITUTE(Catalogo!$F32," ","")&amp;",")),Catalogo!$H32&lt;&gt;"N"),"●","")</f>
        <v/>
      </c>
      <c r="K32" s="19">
        <f>IF(AND(ISNUMBER(SEARCH(","&amp;K$1&amp;",",","&amp;SUBSTITUTE(Catalogo!$F32," ","")&amp;",")),Catalogo!$H32&lt;&gt;"N"),"●","")</f>
        <v/>
      </c>
      <c r="L32" s="19">
        <f>IF(AND(ISNUMBER(SEARCH(","&amp;L$1&amp;",",","&amp;SUBSTITUTE(Catalogo!$F32," ","")&amp;",")),Catalogo!$H32&lt;&gt;"N"),"●","")</f>
        <v/>
      </c>
      <c r="M32" s="19">
        <f>IF(AND(ISNUMBER(SEARCH(","&amp;M$1&amp;",",","&amp;SUBSTITUTE(Catalogo!$F32," ","")&amp;",")),Catalogo!$H32&lt;&gt;"N"),"●","")</f>
        <v/>
      </c>
    </row>
    <row r="33">
      <c r="A33" s="17">
        <f>Catalogo!A33</f>
        <v/>
      </c>
      <c r="B33" s="17">
        <f>Catalogo!C33</f>
        <v/>
      </c>
      <c r="C33" s="19">
        <f>IF(Catalogo!H33="","(vazio)",Catalogo!H33)</f>
        <v/>
      </c>
      <c r="D33" s="19">
        <f>IF(AND(ISNUMBER(SEARCH(","&amp;D$1&amp;",",","&amp;SUBSTITUTE(Catalogo!$F33," ","")&amp;",")),Catalogo!$H33&lt;&gt;"N"),"●","")</f>
        <v/>
      </c>
      <c r="E33" s="19">
        <f>IF(AND(ISNUMBER(SEARCH(","&amp;E$1&amp;",",","&amp;SUBSTITUTE(Catalogo!$F33," ","")&amp;",")),Catalogo!$H33&lt;&gt;"N"),"●","")</f>
        <v/>
      </c>
      <c r="F33" s="19">
        <f>IF(AND(ISNUMBER(SEARCH(","&amp;F$1&amp;",",","&amp;SUBSTITUTE(Catalogo!$F33," ","")&amp;",")),Catalogo!$H33&lt;&gt;"N"),"●","")</f>
        <v/>
      </c>
      <c r="G33" s="19">
        <f>IF(AND(ISNUMBER(SEARCH(","&amp;G$1&amp;",",","&amp;SUBSTITUTE(Catalogo!$F33," ","")&amp;",")),Catalogo!$H33&lt;&gt;"N"),"●","")</f>
        <v/>
      </c>
      <c r="H33" s="19">
        <f>IF(AND(ISNUMBER(SEARCH(","&amp;H$1&amp;",",","&amp;SUBSTITUTE(Catalogo!$F33," ","")&amp;",")),Catalogo!$H33&lt;&gt;"N"),"●","")</f>
        <v/>
      </c>
      <c r="I33" s="19">
        <f>IF(AND(ISNUMBER(SEARCH(","&amp;I$1&amp;",",","&amp;SUBSTITUTE(Catalogo!$F33," ","")&amp;",")),Catalogo!$H33&lt;&gt;"N"),"●","")</f>
        <v/>
      </c>
      <c r="J33" s="19">
        <f>IF(AND(ISNUMBER(SEARCH(","&amp;J$1&amp;",",","&amp;SUBSTITUTE(Catalogo!$F33," ","")&amp;",")),Catalogo!$H33&lt;&gt;"N"),"●","")</f>
        <v/>
      </c>
      <c r="K33" s="19">
        <f>IF(AND(ISNUMBER(SEARCH(","&amp;K$1&amp;",",","&amp;SUBSTITUTE(Catalogo!$F33," ","")&amp;",")),Catalogo!$H33&lt;&gt;"N"),"●","")</f>
        <v/>
      </c>
      <c r="L33" s="19">
        <f>IF(AND(ISNUMBER(SEARCH(","&amp;L$1&amp;",",","&amp;SUBSTITUTE(Catalogo!$F33," ","")&amp;",")),Catalogo!$H33&lt;&gt;"N"),"●","")</f>
        <v/>
      </c>
      <c r="M33" s="19">
        <f>IF(AND(ISNUMBER(SEARCH(","&amp;M$1&amp;",",","&amp;SUBSTITUTE(Catalogo!$F33," ","")&amp;",")),Catalogo!$H33&lt;&gt;"N"),"●","")</f>
        <v/>
      </c>
    </row>
    <row r="34">
      <c r="A34" s="17">
        <f>Catalogo!A34</f>
        <v/>
      </c>
      <c r="B34" s="17">
        <f>Catalogo!C34</f>
        <v/>
      </c>
      <c r="C34" s="19">
        <f>IF(Catalogo!H34="","(vazio)",Catalogo!H34)</f>
        <v/>
      </c>
      <c r="D34" s="19">
        <f>IF(AND(ISNUMBER(SEARCH(","&amp;D$1&amp;",",","&amp;SUBSTITUTE(Catalogo!$F34," ","")&amp;",")),Catalogo!$H34&lt;&gt;"N"),"●","")</f>
        <v/>
      </c>
      <c r="E34" s="19">
        <f>IF(AND(ISNUMBER(SEARCH(","&amp;E$1&amp;",",","&amp;SUBSTITUTE(Catalogo!$F34," ","")&amp;",")),Catalogo!$H34&lt;&gt;"N"),"●","")</f>
        <v/>
      </c>
      <c r="F34" s="19">
        <f>IF(AND(ISNUMBER(SEARCH(","&amp;F$1&amp;",",","&amp;SUBSTITUTE(Catalogo!$F34," ","")&amp;",")),Catalogo!$H34&lt;&gt;"N"),"●","")</f>
        <v/>
      </c>
      <c r="G34" s="19">
        <f>IF(AND(ISNUMBER(SEARCH(","&amp;G$1&amp;",",","&amp;SUBSTITUTE(Catalogo!$F34," ","")&amp;",")),Catalogo!$H34&lt;&gt;"N"),"●","")</f>
        <v/>
      </c>
      <c r="H34" s="19">
        <f>IF(AND(ISNUMBER(SEARCH(","&amp;H$1&amp;",",","&amp;SUBSTITUTE(Catalogo!$F34," ","")&amp;",")),Catalogo!$H34&lt;&gt;"N"),"●","")</f>
        <v/>
      </c>
      <c r="I34" s="19">
        <f>IF(AND(ISNUMBER(SEARCH(","&amp;I$1&amp;",",","&amp;SUBSTITUTE(Catalogo!$F34," ","")&amp;",")),Catalogo!$H34&lt;&gt;"N"),"●","")</f>
        <v/>
      </c>
      <c r="J34" s="19">
        <f>IF(AND(ISNUMBER(SEARCH(","&amp;J$1&amp;",",","&amp;SUBSTITUTE(Catalogo!$F34," ","")&amp;",")),Catalogo!$H34&lt;&gt;"N"),"●","")</f>
        <v/>
      </c>
      <c r="K34" s="19">
        <f>IF(AND(ISNUMBER(SEARCH(","&amp;K$1&amp;",",","&amp;SUBSTITUTE(Catalogo!$F34," ","")&amp;",")),Catalogo!$H34&lt;&gt;"N"),"●","")</f>
        <v/>
      </c>
      <c r="L34" s="19">
        <f>IF(AND(ISNUMBER(SEARCH(","&amp;L$1&amp;",",","&amp;SUBSTITUTE(Catalogo!$F34," ","")&amp;",")),Catalogo!$H34&lt;&gt;"N"),"●","")</f>
        <v/>
      </c>
      <c r="M34" s="19">
        <f>IF(AND(ISNUMBER(SEARCH(","&amp;M$1&amp;",",","&amp;SUBSTITUTE(Catalogo!$F34," ","")&amp;",")),Catalogo!$H34&lt;&gt;"N"),"●","")</f>
        <v/>
      </c>
    </row>
    <row r="35">
      <c r="A35" s="17">
        <f>Catalogo!A35</f>
        <v/>
      </c>
      <c r="B35" s="17">
        <f>Catalogo!C35</f>
        <v/>
      </c>
      <c r="C35" s="19">
        <f>IF(Catalogo!H35="","(vazio)",Catalogo!H35)</f>
        <v/>
      </c>
      <c r="D35" s="19">
        <f>IF(AND(ISNUMBER(SEARCH(","&amp;D$1&amp;",",","&amp;SUBSTITUTE(Catalogo!$F35," ","")&amp;",")),Catalogo!$H35&lt;&gt;"N"),"●","")</f>
        <v/>
      </c>
      <c r="E35" s="19">
        <f>IF(AND(ISNUMBER(SEARCH(","&amp;E$1&amp;",",","&amp;SUBSTITUTE(Catalogo!$F35," ","")&amp;",")),Catalogo!$H35&lt;&gt;"N"),"●","")</f>
        <v/>
      </c>
      <c r="F35" s="19">
        <f>IF(AND(ISNUMBER(SEARCH(","&amp;F$1&amp;",",","&amp;SUBSTITUTE(Catalogo!$F35," ","")&amp;",")),Catalogo!$H35&lt;&gt;"N"),"●","")</f>
        <v/>
      </c>
      <c r="G35" s="19">
        <f>IF(AND(ISNUMBER(SEARCH(","&amp;G$1&amp;",",","&amp;SUBSTITUTE(Catalogo!$F35," ","")&amp;",")),Catalogo!$H35&lt;&gt;"N"),"●","")</f>
        <v/>
      </c>
      <c r="H35" s="19">
        <f>IF(AND(ISNUMBER(SEARCH(","&amp;H$1&amp;",",","&amp;SUBSTITUTE(Catalogo!$F35," ","")&amp;",")),Catalogo!$H35&lt;&gt;"N"),"●","")</f>
        <v/>
      </c>
      <c r="I35" s="19">
        <f>IF(AND(ISNUMBER(SEARCH(","&amp;I$1&amp;",",","&amp;SUBSTITUTE(Catalogo!$F35," ","")&amp;",")),Catalogo!$H35&lt;&gt;"N"),"●","")</f>
        <v/>
      </c>
      <c r="J35" s="19">
        <f>IF(AND(ISNUMBER(SEARCH(","&amp;J$1&amp;",",","&amp;SUBSTITUTE(Catalogo!$F35," ","")&amp;",")),Catalogo!$H35&lt;&gt;"N"),"●","")</f>
        <v/>
      </c>
      <c r="K35" s="19">
        <f>IF(AND(ISNUMBER(SEARCH(","&amp;K$1&amp;",",","&amp;SUBSTITUTE(Catalogo!$F35," ","")&amp;",")),Catalogo!$H35&lt;&gt;"N"),"●","")</f>
        <v/>
      </c>
      <c r="L35" s="19">
        <f>IF(AND(ISNUMBER(SEARCH(","&amp;L$1&amp;",",","&amp;SUBSTITUTE(Catalogo!$F35," ","")&amp;",")),Catalogo!$H35&lt;&gt;"N"),"●","")</f>
        <v/>
      </c>
      <c r="M35" s="19">
        <f>IF(AND(ISNUMBER(SEARCH(","&amp;M$1&amp;",",","&amp;SUBSTITUTE(Catalogo!$F35," ","")&amp;",")),Catalogo!$H35&lt;&gt;"N"),"●","")</f>
        <v/>
      </c>
    </row>
    <row r="36">
      <c r="A36" s="17">
        <f>Catalogo!A36</f>
        <v/>
      </c>
      <c r="B36" s="17">
        <f>Catalogo!C36</f>
        <v/>
      </c>
      <c r="C36" s="19">
        <f>IF(Catalogo!H36="","(vazio)",Catalogo!H36)</f>
        <v/>
      </c>
      <c r="D36" s="19">
        <f>IF(AND(ISNUMBER(SEARCH(","&amp;D$1&amp;",",","&amp;SUBSTITUTE(Catalogo!$F36," ","")&amp;",")),Catalogo!$H36&lt;&gt;"N"),"●","")</f>
        <v/>
      </c>
      <c r="E36" s="19">
        <f>IF(AND(ISNUMBER(SEARCH(","&amp;E$1&amp;",",","&amp;SUBSTITUTE(Catalogo!$F36," ","")&amp;",")),Catalogo!$H36&lt;&gt;"N"),"●","")</f>
        <v/>
      </c>
      <c r="F36" s="19">
        <f>IF(AND(ISNUMBER(SEARCH(","&amp;F$1&amp;",",","&amp;SUBSTITUTE(Catalogo!$F36," ","")&amp;",")),Catalogo!$H36&lt;&gt;"N"),"●","")</f>
        <v/>
      </c>
      <c r="G36" s="19">
        <f>IF(AND(ISNUMBER(SEARCH(","&amp;G$1&amp;",",","&amp;SUBSTITUTE(Catalogo!$F36," ","")&amp;",")),Catalogo!$H36&lt;&gt;"N"),"●","")</f>
        <v/>
      </c>
      <c r="H36" s="19">
        <f>IF(AND(ISNUMBER(SEARCH(","&amp;H$1&amp;",",","&amp;SUBSTITUTE(Catalogo!$F36," ","")&amp;",")),Catalogo!$H36&lt;&gt;"N"),"●","")</f>
        <v/>
      </c>
      <c r="I36" s="19">
        <f>IF(AND(ISNUMBER(SEARCH(","&amp;I$1&amp;",",","&amp;SUBSTITUTE(Catalogo!$F36," ","")&amp;",")),Catalogo!$H36&lt;&gt;"N"),"●","")</f>
        <v/>
      </c>
      <c r="J36" s="19">
        <f>IF(AND(ISNUMBER(SEARCH(","&amp;J$1&amp;",",","&amp;SUBSTITUTE(Catalogo!$F36," ","")&amp;",")),Catalogo!$H36&lt;&gt;"N"),"●","")</f>
        <v/>
      </c>
      <c r="K36" s="19">
        <f>IF(AND(ISNUMBER(SEARCH(","&amp;K$1&amp;",",","&amp;SUBSTITUTE(Catalogo!$F36," ","")&amp;",")),Catalogo!$H36&lt;&gt;"N"),"●","")</f>
        <v/>
      </c>
      <c r="L36" s="19">
        <f>IF(AND(ISNUMBER(SEARCH(","&amp;L$1&amp;",",","&amp;SUBSTITUTE(Catalogo!$F36," ","")&amp;",")),Catalogo!$H36&lt;&gt;"N"),"●","")</f>
        <v/>
      </c>
      <c r="M36" s="19">
        <f>IF(AND(ISNUMBER(SEARCH(","&amp;M$1&amp;",",","&amp;SUBSTITUTE(Catalogo!$F36," ","")&amp;",")),Catalogo!$H36&lt;&gt;"N"),"●","")</f>
        <v/>
      </c>
    </row>
    <row r="37">
      <c r="A37" s="17">
        <f>Catalogo!A37</f>
        <v/>
      </c>
      <c r="B37" s="17">
        <f>Catalogo!C37</f>
        <v/>
      </c>
      <c r="C37" s="19">
        <f>IF(Catalogo!H37="","(vazio)",Catalogo!H37)</f>
        <v/>
      </c>
      <c r="D37" s="19">
        <f>IF(AND(ISNUMBER(SEARCH(","&amp;D$1&amp;",",","&amp;SUBSTITUTE(Catalogo!$F37," ","")&amp;",")),Catalogo!$H37&lt;&gt;"N"),"●","")</f>
        <v/>
      </c>
      <c r="E37" s="19">
        <f>IF(AND(ISNUMBER(SEARCH(","&amp;E$1&amp;",",","&amp;SUBSTITUTE(Catalogo!$F37," ","")&amp;",")),Catalogo!$H37&lt;&gt;"N"),"●","")</f>
        <v/>
      </c>
      <c r="F37" s="19">
        <f>IF(AND(ISNUMBER(SEARCH(","&amp;F$1&amp;",",","&amp;SUBSTITUTE(Catalogo!$F37," ","")&amp;",")),Catalogo!$H37&lt;&gt;"N"),"●","")</f>
        <v/>
      </c>
      <c r="G37" s="19">
        <f>IF(AND(ISNUMBER(SEARCH(","&amp;G$1&amp;",",","&amp;SUBSTITUTE(Catalogo!$F37," ","")&amp;",")),Catalogo!$H37&lt;&gt;"N"),"●","")</f>
        <v/>
      </c>
      <c r="H37" s="19">
        <f>IF(AND(ISNUMBER(SEARCH(","&amp;H$1&amp;",",","&amp;SUBSTITUTE(Catalogo!$F37," ","")&amp;",")),Catalogo!$H37&lt;&gt;"N"),"●","")</f>
        <v/>
      </c>
      <c r="I37" s="19">
        <f>IF(AND(ISNUMBER(SEARCH(","&amp;I$1&amp;",",","&amp;SUBSTITUTE(Catalogo!$F37," ","")&amp;",")),Catalogo!$H37&lt;&gt;"N"),"●","")</f>
        <v/>
      </c>
      <c r="J37" s="19">
        <f>IF(AND(ISNUMBER(SEARCH(","&amp;J$1&amp;",",","&amp;SUBSTITUTE(Catalogo!$F37," ","")&amp;",")),Catalogo!$H37&lt;&gt;"N"),"●","")</f>
        <v/>
      </c>
      <c r="K37" s="19">
        <f>IF(AND(ISNUMBER(SEARCH(","&amp;K$1&amp;",",","&amp;SUBSTITUTE(Catalogo!$F37," ","")&amp;",")),Catalogo!$H37&lt;&gt;"N"),"●","")</f>
        <v/>
      </c>
      <c r="L37" s="19">
        <f>IF(AND(ISNUMBER(SEARCH(","&amp;L$1&amp;",",","&amp;SUBSTITUTE(Catalogo!$F37," ","")&amp;",")),Catalogo!$H37&lt;&gt;"N"),"●","")</f>
        <v/>
      </c>
      <c r="M37" s="19">
        <f>IF(AND(ISNUMBER(SEARCH(","&amp;M$1&amp;",",","&amp;SUBSTITUTE(Catalogo!$F37," ","")&amp;",")),Catalogo!$H37&lt;&gt;"N"),"●","")</f>
        <v/>
      </c>
    </row>
    <row r="38">
      <c r="A38" s="17">
        <f>Catalogo!A38</f>
        <v/>
      </c>
      <c r="B38" s="17">
        <f>Catalogo!C38</f>
        <v/>
      </c>
      <c r="C38" s="19">
        <f>IF(Catalogo!H38="","(vazio)",Catalogo!H38)</f>
        <v/>
      </c>
      <c r="D38" s="19">
        <f>IF(AND(ISNUMBER(SEARCH(","&amp;D$1&amp;",",","&amp;SUBSTITUTE(Catalogo!$F38," ","")&amp;",")),Catalogo!$H38&lt;&gt;"N"),"●","")</f>
        <v/>
      </c>
      <c r="E38" s="19">
        <f>IF(AND(ISNUMBER(SEARCH(","&amp;E$1&amp;",",","&amp;SUBSTITUTE(Catalogo!$F38," ","")&amp;",")),Catalogo!$H38&lt;&gt;"N"),"●","")</f>
        <v/>
      </c>
      <c r="F38" s="19">
        <f>IF(AND(ISNUMBER(SEARCH(","&amp;F$1&amp;",",","&amp;SUBSTITUTE(Catalogo!$F38," ","")&amp;",")),Catalogo!$H38&lt;&gt;"N"),"●","")</f>
        <v/>
      </c>
      <c r="G38" s="19">
        <f>IF(AND(ISNUMBER(SEARCH(","&amp;G$1&amp;",",","&amp;SUBSTITUTE(Catalogo!$F38," ","")&amp;",")),Catalogo!$H38&lt;&gt;"N"),"●","")</f>
        <v/>
      </c>
      <c r="H38" s="19">
        <f>IF(AND(ISNUMBER(SEARCH(","&amp;H$1&amp;",",","&amp;SUBSTITUTE(Catalogo!$F38," ","")&amp;",")),Catalogo!$H38&lt;&gt;"N"),"●","")</f>
        <v/>
      </c>
      <c r="I38" s="19">
        <f>IF(AND(ISNUMBER(SEARCH(","&amp;I$1&amp;",",","&amp;SUBSTITUTE(Catalogo!$F38," ","")&amp;",")),Catalogo!$H38&lt;&gt;"N"),"●","")</f>
        <v/>
      </c>
      <c r="J38" s="19">
        <f>IF(AND(ISNUMBER(SEARCH(","&amp;J$1&amp;",",","&amp;SUBSTITUTE(Catalogo!$F38," ","")&amp;",")),Catalogo!$H38&lt;&gt;"N"),"●","")</f>
        <v/>
      </c>
      <c r="K38" s="19">
        <f>IF(AND(ISNUMBER(SEARCH(","&amp;K$1&amp;",",","&amp;SUBSTITUTE(Catalogo!$F38," ","")&amp;",")),Catalogo!$H38&lt;&gt;"N"),"●","")</f>
        <v/>
      </c>
      <c r="L38" s="19">
        <f>IF(AND(ISNUMBER(SEARCH(","&amp;L$1&amp;",",","&amp;SUBSTITUTE(Catalogo!$F38," ","")&amp;",")),Catalogo!$H38&lt;&gt;"N"),"●","")</f>
        <v/>
      </c>
      <c r="M38" s="19">
        <f>IF(AND(ISNUMBER(SEARCH(","&amp;M$1&amp;",",","&amp;SUBSTITUTE(Catalogo!$F38," ","")&amp;",")),Catalogo!$H38&lt;&gt;"N"),"●","")</f>
        <v/>
      </c>
    </row>
    <row r="39">
      <c r="A39" s="17">
        <f>Catalogo!A39</f>
        <v/>
      </c>
      <c r="B39" s="17">
        <f>Catalogo!C39</f>
        <v/>
      </c>
      <c r="C39" s="19">
        <f>IF(Catalogo!H39="","(vazio)",Catalogo!H39)</f>
        <v/>
      </c>
      <c r="D39" s="19">
        <f>IF(AND(ISNUMBER(SEARCH(","&amp;D$1&amp;",",","&amp;SUBSTITUTE(Catalogo!$F39," ","")&amp;",")),Catalogo!$H39&lt;&gt;"N"),"●","")</f>
        <v/>
      </c>
      <c r="E39" s="19">
        <f>IF(AND(ISNUMBER(SEARCH(","&amp;E$1&amp;",",","&amp;SUBSTITUTE(Catalogo!$F39," ","")&amp;",")),Catalogo!$H39&lt;&gt;"N"),"●","")</f>
        <v/>
      </c>
      <c r="F39" s="19">
        <f>IF(AND(ISNUMBER(SEARCH(","&amp;F$1&amp;",",","&amp;SUBSTITUTE(Catalogo!$F39," ","")&amp;",")),Catalogo!$H39&lt;&gt;"N"),"●","")</f>
        <v/>
      </c>
      <c r="G39" s="19">
        <f>IF(AND(ISNUMBER(SEARCH(","&amp;G$1&amp;",",","&amp;SUBSTITUTE(Catalogo!$F39," ","")&amp;",")),Catalogo!$H39&lt;&gt;"N"),"●","")</f>
        <v/>
      </c>
      <c r="H39" s="19">
        <f>IF(AND(ISNUMBER(SEARCH(","&amp;H$1&amp;",",","&amp;SUBSTITUTE(Catalogo!$F39," ","")&amp;",")),Catalogo!$H39&lt;&gt;"N"),"●","")</f>
        <v/>
      </c>
      <c r="I39" s="19">
        <f>IF(AND(ISNUMBER(SEARCH(","&amp;I$1&amp;",",","&amp;SUBSTITUTE(Catalogo!$F39," ","")&amp;",")),Catalogo!$H39&lt;&gt;"N"),"●","")</f>
        <v/>
      </c>
      <c r="J39" s="19">
        <f>IF(AND(ISNUMBER(SEARCH(","&amp;J$1&amp;",",","&amp;SUBSTITUTE(Catalogo!$F39," ","")&amp;",")),Catalogo!$H39&lt;&gt;"N"),"●","")</f>
        <v/>
      </c>
      <c r="K39" s="19">
        <f>IF(AND(ISNUMBER(SEARCH(","&amp;K$1&amp;",",","&amp;SUBSTITUTE(Catalogo!$F39," ","")&amp;",")),Catalogo!$H39&lt;&gt;"N"),"●","")</f>
        <v/>
      </c>
      <c r="L39" s="19">
        <f>IF(AND(ISNUMBER(SEARCH(","&amp;L$1&amp;",",","&amp;SUBSTITUTE(Catalogo!$F39," ","")&amp;",")),Catalogo!$H39&lt;&gt;"N"),"●","")</f>
        <v/>
      </c>
      <c r="M39" s="19">
        <f>IF(AND(ISNUMBER(SEARCH(","&amp;M$1&amp;",",","&amp;SUBSTITUTE(Catalogo!$F39," ","")&amp;",")),Catalogo!$H39&lt;&gt;"N"),"●","")</f>
        <v/>
      </c>
    </row>
    <row r="40">
      <c r="A40" s="17">
        <f>Catalogo!A40</f>
        <v/>
      </c>
      <c r="B40" s="17">
        <f>Catalogo!C40</f>
        <v/>
      </c>
      <c r="C40" s="19">
        <f>IF(Catalogo!H40="","(vazio)",Catalogo!H40)</f>
        <v/>
      </c>
      <c r="D40" s="19">
        <f>IF(AND(ISNUMBER(SEARCH(","&amp;D$1&amp;",",","&amp;SUBSTITUTE(Catalogo!$F40," ","")&amp;",")),Catalogo!$H40&lt;&gt;"N"),"●","")</f>
        <v/>
      </c>
      <c r="E40" s="19">
        <f>IF(AND(ISNUMBER(SEARCH(","&amp;E$1&amp;",",","&amp;SUBSTITUTE(Catalogo!$F40," ","")&amp;",")),Catalogo!$H40&lt;&gt;"N"),"●","")</f>
        <v/>
      </c>
      <c r="F40" s="19">
        <f>IF(AND(ISNUMBER(SEARCH(","&amp;F$1&amp;",",","&amp;SUBSTITUTE(Catalogo!$F40," ","")&amp;",")),Catalogo!$H40&lt;&gt;"N"),"●","")</f>
        <v/>
      </c>
      <c r="G40" s="19">
        <f>IF(AND(ISNUMBER(SEARCH(","&amp;G$1&amp;",",","&amp;SUBSTITUTE(Catalogo!$F40," ","")&amp;",")),Catalogo!$H40&lt;&gt;"N"),"●","")</f>
        <v/>
      </c>
      <c r="H40" s="19">
        <f>IF(AND(ISNUMBER(SEARCH(","&amp;H$1&amp;",",","&amp;SUBSTITUTE(Catalogo!$F40," ","")&amp;",")),Catalogo!$H40&lt;&gt;"N"),"●","")</f>
        <v/>
      </c>
      <c r="I40" s="19">
        <f>IF(AND(ISNUMBER(SEARCH(","&amp;I$1&amp;",",","&amp;SUBSTITUTE(Catalogo!$F40," ","")&amp;",")),Catalogo!$H40&lt;&gt;"N"),"●","")</f>
        <v/>
      </c>
      <c r="J40" s="19">
        <f>IF(AND(ISNUMBER(SEARCH(","&amp;J$1&amp;",",","&amp;SUBSTITUTE(Catalogo!$F40," ","")&amp;",")),Catalogo!$H40&lt;&gt;"N"),"●","")</f>
        <v/>
      </c>
      <c r="K40" s="19">
        <f>IF(AND(ISNUMBER(SEARCH(","&amp;K$1&amp;",",","&amp;SUBSTITUTE(Catalogo!$F40," ","")&amp;",")),Catalogo!$H40&lt;&gt;"N"),"●","")</f>
        <v/>
      </c>
      <c r="L40" s="19">
        <f>IF(AND(ISNUMBER(SEARCH(","&amp;L$1&amp;",",","&amp;SUBSTITUTE(Catalogo!$F40," ","")&amp;",")),Catalogo!$H40&lt;&gt;"N"),"●","")</f>
        <v/>
      </c>
      <c r="M40" s="19">
        <f>IF(AND(ISNUMBER(SEARCH(","&amp;M$1&amp;",",","&amp;SUBSTITUTE(Catalogo!$F40," ","")&amp;",")),Catalogo!$H40&lt;&gt;"N"),"●","")</f>
        <v/>
      </c>
    </row>
    <row r="41">
      <c r="A41" s="17">
        <f>Catalogo!A41</f>
        <v/>
      </c>
      <c r="B41" s="17">
        <f>Catalogo!C41</f>
        <v/>
      </c>
      <c r="C41" s="19">
        <f>IF(Catalogo!H41="","(vazio)",Catalogo!H41)</f>
        <v/>
      </c>
      <c r="D41" s="19">
        <f>IF(AND(ISNUMBER(SEARCH(","&amp;D$1&amp;",",","&amp;SUBSTITUTE(Catalogo!$F41," ","")&amp;",")),Catalogo!$H41&lt;&gt;"N"),"●","")</f>
        <v/>
      </c>
      <c r="E41" s="19">
        <f>IF(AND(ISNUMBER(SEARCH(","&amp;E$1&amp;",",","&amp;SUBSTITUTE(Catalogo!$F41," ","")&amp;",")),Catalogo!$H41&lt;&gt;"N"),"●","")</f>
        <v/>
      </c>
      <c r="F41" s="19">
        <f>IF(AND(ISNUMBER(SEARCH(","&amp;F$1&amp;",",","&amp;SUBSTITUTE(Catalogo!$F41," ","")&amp;",")),Catalogo!$H41&lt;&gt;"N"),"●","")</f>
        <v/>
      </c>
      <c r="G41" s="19">
        <f>IF(AND(ISNUMBER(SEARCH(","&amp;G$1&amp;",",","&amp;SUBSTITUTE(Catalogo!$F41," ","")&amp;",")),Catalogo!$H41&lt;&gt;"N"),"●","")</f>
        <v/>
      </c>
      <c r="H41" s="19">
        <f>IF(AND(ISNUMBER(SEARCH(","&amp;H$1&amp;",",","&amp;SUBSTITUTE(Catalogo!$F41," ","")&amp;",")),Catalogo!$H41&lt;&gt;"N"),"●","")</f>
        <v/>
      </c>
      <c r="I41" s="19">
        <f>IF(AND(ISNUMBER(SEARCH(","&amp;I$1&amp;",",","&amp;SUBSTITUTE(Catalogo!$F41," ","")&amp;",")),Catalogo!$H41&lt;&gt;"N"),"●","")</f>
        <v/>
      </c>
      <c r="J41" s="19">
        <f>IF(AND(ISNUMBER(SEARCH(","&amp;J$1&amp;",",","&amp;SUBSTITUTE(Catalogo!$F41," ","")&amp;",")),Catalogo!$H41&lt;&gt;"N"),"●","")</f>
        <v/>
      </c>
      <c r="K41" s="19">
        <f>IF(AND(ISNUMBER(SEARCH(","&amp;K$1&amp;",",","&amp;SUBSTITUTE(Catalogo!$F41," ","")&amp;",")),Catalogo!$H41&lt;&gt;"N"),"●","")</f>
        <v/>
      </c>
      <c r="L41" s="19">
        <f>IF(AND(ISNUMBER(SEARCH(","&amp;L$1&amp;",",","&amp;SUBSTITUTE(Catalogo!$F41," ","")&amp;",")),Catalogo!$H41&lt;&gt;"N"),"●","")</f>
        <v/>
      </c>
      <c r="M41" s="19">
        <f>IF(AND(ISNUMBER(SEARCH(","&amp;M$1&amp;",",","&amp;SUBSTITUTE(Catalogo!$F41," ","")&amp;",")),Catalogo!$H41&lt;&gt;"N"),"●","")</f>
        <v/>
      </c>
    </row>
    <row r="42">
      <c r="A42" s="17">
        <f>Catalogo!A42</f>
        <v/>
      </c>
      <c r="B42" s="17">
        <f>Catalogo!C42</f>
        <v/>
      </c>
      <c r="C42" s="19">
        <f>IF(Catalogo!H42="","(vazio)",Catalogo!H42)</f>
        <v/>
      </c>
      <c r="D42" s="19">
        <f>IF(AND(ISNUMBER(SEARCH(","&amp;D$1&amp;",",","&amp;SUBSTITUTE(Catalogo!$F42," ","")&amp;",")),Catalogo!$H42&lt;&gt;"N"),"●","")</f>
        <v/>
      </c>
      <c r="E42" s="19">
        <f>IF(AND(ISNUMBER(SEARCH(","&amp;E$1&amp;",",","&amp;SUBSTITUTE(Catalogo!$F42," ","")&amp;",")),Catalogo!$H42&lt;&gt;"N"),"●","")</f>
        <v/>
      </c>
      <c r="F42" s="19">
        <f>IF(AND(ISNUMBER(SEARCH(","&amp;F$1&amp;",",","&amp;SUBSTITUTE(Catalogo!$F42," ","")&amp;",")),Catalogo!$H42&lt;&gt;"N"),"●","")</f>
        <v/>
      </c>
      <c r="G42" s="19">
        <f>IF(AND(ISNUMBER(SEARCH(","&amp;G$1&amp;",",","&amp;SUBSTITUTE(Catalogo!$F42," ","")&amp;",")),Catalogo!$H42&lt;&gt;"N"),"●","")</f>
        <v/>
      </c>
      <c r="H42" s="19">
        <f>IF(AND(ISNUMBER(SEARCH(","&amp;H$1&amp;",",","&amp;SUBSTITUTE(Catalogo!$F42," ","")&amp;",")),Catalogo!$H42&lt;&gt;"N"),"●","")</f>
        <v/>
      </c>
      <c r="I42" s="19">
        <f>IF(AND(ISNUMBER(SEARCH(","&amp;I$1&amp;",",","&amp;SUBSTITUTE(Catalogo!$F42," ","")&amp;",")),Catalogo!$H42&lt;&gt;"N"),"●","")</f>
        <v/>
      </c>
      <c r="J42" s="19">
        <f>IF(AND(ISNUMBER(SEARCH(","&amp;J$1&amp;",",","&amp;SUBSTITUTE(Catalogo!$F42," ","")&amp;",")),Catalogo!$H42&lt;&gt;"N"),"●","")</f>
        <v/>
      </c>
      <c r="K42" s="19">
        <f>IF(AND(ISNUMBER(SEARCH(","&amp;K$1&amp;",",","&amp;SUBSTITUTE(Catalogo!$F42," ","")&amp;",")),Catalogo!$H42&lt;&gt;"N"),"●","")</f>
        <v/>
      </c>
      <c r="L42" s="19">
        <f>IF(AND(ISNUMBER(SEARCH(","&amp;L$1&amp;",",","&amp;SUBSTITUTE(Catalogo!$F42," ","")&amp;",")),Catalogo!$H42&lt;&gt;"N"),"●","")</f>
        <v/>
      </c>
      <c r="M42" s="19">
        <f>IF(AND(ISNUMBER(SEARCH(","&amp;M$1&amp;",",","&amp;SUBSTITUTE(Catalogo!$F42," ","")&amp;",")),Catalogo!$H42&lt;&gt;"N"),"●","")</f>
        <v/>
      </c>
    </row>
    <row r="43">
      <c r="A43" s="17">
        <f>Catalogo!A43</f>
        <v/>
      </c>
      <c r="B43" s="17">
        <f>Catalogo!C43</f>
        <v/>
      </c>
      <c r="C43" s="19">
        <f>IF(Catalogo!H43="","(vazio)",Catalogo!H43)</f>
        <v/>
      </c>
      <c r="D43" s="19">
        <f>IF(AND(ISNUMBER(SEARCH(","&amp;D$1&amp;",",","&amp;SUBSTITUTE(Catalogo!$F43," ","")&amp;",")),Catalogo!$H43&lt;&gt;"N"),"●","")</f>
        <v/>
      </c>
      <c r="E43" s="19">
        <f>IF(AND(ISNUMBER(SEARCH(","&amp;E$1&amp;",",","&amp;SUBSTITUTE(Catalogo!$F43," ","")&amp;",")),Catalogo!$H43&lt;&gt;"N"),"●","")</f>
        <v/>
      </c>
      <c r="F43" s="19">
        <f>IF(AND(ISNUMBER(SEARCH(","&amp;F$1&amp;",",","&amp;SUBSTITUTE(Catalogo!$F43," ","")&amp;",")),Catalogo!$H43&lt;&gt;"N"),"●","")</f>
        <v/>
      </c>
      <c r="G43" s="19">
        <f>IF(AND(ISNUMBER(SEARCH(","&amp;G$1&amp;",",","&amp;SUBSTITUTE(Catalogo!$F43," ","")&amp;",")),Catalogo!$H43&lt;&gt;"N"),"●","")</f>
        <v/>
      </c>
      <c r="H43" s="19">
        <f>IF(AND(ISNUMBER(SEARCH(","&amp;H$1&amp;",",","&amp;SUBSTITUTE(Catalogo!$F43," ","")&amp;",")),Catalogo!$H43&lt;&gt;"N"),"●","")</f>
        <v/>
      </c>
      <c r="I43" s="19">
        <f>IF(AND(ISNUMBER(SEARCH(","&amp;I$1&amp;",",","&amp;SUBSTITUTE(Catalogo!$F43," ","")&amp;",")),Catalogo!$H43&lt;&gt;"N"),"●","")</f>
        <v/>
      </c>
      <c r="J43" s="19">
        <f>IF(AND(ISNUMBER(SEARCH(","&amp;J$1&amp;",",","&amp;SUBSTITUTE(Catalogo!$F43," ","")&amp;",")),Catalogo!$H43&lt;&gt;"N"),"●","")</f>
        <v/>
      </c>
      <c r="K43" s="19">
        <f>IF(AND(ISNUMBER(SEARCH(","&amp;K$1&amp;",",","&amp;SUBSTITUTE(Catalogo!$F43," ","")&amp;",")),Catalogo!$H43&lt;&gt;"N"),"●","")</f>
        <v/>
      </c>
      <c r="L43" s="19">
        <f>IF(AND(ISNUMBER(SEARCH(","&amp;L$1&amp;",",","&amp;SUBSTITUTE(Catalogo!$F43," ","")&amp;",")),Catalogo!$H43&lt;&gt;"N"),"●","")</f>
        <v/>
      </c>
      <c r="M43" s="19">
        <f>IF(AND(ISNUMBER(SEARCH(","&amp;M$1&amp;",",","&amp;SUBSTITUTE(Catalogo!$F43," ","")&amp;",")),Catalogo!$H43&lt;&gt;"N"),"●","")</f>
        <v/>
      </c>
    </row>
    <row r="44">
      <c r="A44" s="17">
        <f>Catalogo!A44</f>
        <v/>
      </c>
      <c r="B44" s="17">
        <f>Catalogo!C44</f>
        <v/>
      </c>
      <c r="C44" s="19">
        <f>IF(Catalogo!H44="","(vazio)",Catalogo!H44)</f>
        <v/>
      </c>
      <c r="D44" s="19">
        <f>IF(AND(ISNUMBER(SEARCH(","&amp;D$1&amp;",",","&amp;SUBSTITUTE(Catalogo!$F44," ","")&amp;",")),Catalogo!$H44&lt;&gt;"N"),"●","")</f>
        <v/>
      </c>
      <c r="E44" s="19">
        <f>IF(AND(ISNUMBER(SEARCH(","&amp;E$1&amp;",",","&amp;SUBSTITUTE(Catalogo!$F44," ","")&amp;",")),Catalogo!$H44&lt;&gt;"N"),"●","")</f>
        <v/>
      </c>
      <c r="F44" s="19">
        <f>IF(AND(ISNUMBER(SEARCH(","&amp;F$1&amp;",",","&amp;SUBSTITUTE(Catalogo!$F44," ","")&amp;",")),Catalogo!$H44&lt;&gt;"N"),"●","")</f>
        <v/>
      </c>
      <c r="G44" s="19">
        <f>IF(AND(ISNUMBER(SEARCH(","&amp;G$1&amp;",",","&amp;SUBSTITUTE(Catalogo!$F44," ","")&amp;",")),Catalogo!$H44&lt;&gt;"N"),"●","")</f>
        <v/>
      </c>
      <c r="H44" s="19">
        <f>IF(AND(ISNUMBER(SEARCH(","&amp;H$1&amp;",",","&amp;SUBSTITUTE(Catalogo!$F44," ","")&amp;",")),Catalogo!$H44&lt;&gt;"N"),"●","")</f>
        <v/>
      </c>
      <c r="I44" s="19">
        <f>IF(AND(ISNUMBER(SEARCH(","&amp;I$1&amp;",",","&amp;SUBSTITUTE(Catalogo!$F44," ","")&amp;",")),Catalogo!$H44&lt;&gt;"N"),"●","")</f>
        <v/>
      </c>
      <c r="J44" s="19">
        <f>IF(AND(ISNUMBER(SEARCH(","&amp;J$1&amp;",",","&amp;SUBSTITUTE(Catalogo!$F44," ","")&amp;",")),Catalogo!$H44&lt;&gt;"N"),"●","")</f>
        <v/>
      </c>
      <c r="K44" s="19">
        <f>IF(AND(ISNUMBER(SEARCH(","&amp;K$1&amp;",",","&amp;SUBSTITUTE(Catalogo!$F44," ","")&amp;",")),Catalogo!$H44&lt;&gt;"N"),"●","")</f>
        <v/>
      </c>
      <c r="L44" s="19">
        <f>IF(AND(ISNUMBER(SEARCH(","&amp;L$1&amp;",",","&amp;SUBSTITUTE(Catalogo!$F44," ","")&amp;",")),Catalogo!$H44&lt;&gt;"N"),"●","")</f>
        <v/>
      </c>
      <c r="M44" s="19">
        <f>IF(AND(ISNUMBER(SEARCH(","&amp;M$1&amp;",",","&amp;SUBSTITUTE(Catalogo!$F44," ","")&amp;",")),Catalogo!$H44&lt;&gt;"N"),"●","")</f>
        <v/>
      </c>
    </row>
    <row r="45">
      <c r="A45" s="17">
        <f>Catalogo!A45</f>
        <v/>
      </c>
      <c r="B45" s="17">
        <f>Catalogo!C45</f>
        <v/>
      </c>
      <c r="C45" s="19">
        <f>IF(Catalogo!H45="","(vazio)",Catalogo!H45)</f>
        <v/>
      </c>
      <c r="D45" s="19">
        <f>IF(AND(ISNUMBER(SEARCH(","&amp;D$1&amp;",",","&amp;SUBSTITUTE(Catalogo!$F45," ","")&amp;",")),Catalogo!$H45&lt;&gt;"N"),"●","")</f>
        <v/>
      </c>
      <c r="E45" s="19">
        <f>IF(AND(ISNUMBER(SEARCH(","&amp;E$1&amp;",",","&amp;SUBSTITUTE(Catalogo!$F45," ","")&amp;",")),Catalogo!$H45&lt;&gt;"N"),"●","")</f>
        <v/>
      </c>
      <c r="F45" s="19">
        <f>IF(AND(ISNUMBER(SEARCH(","&amp;F$1&amp;",",","&amp;SUBSTITUTE(Catalogo!$F45," ","")&amp;",")),Catalogo!$H45&lt;&gt;"N"),"●","")</f>
        <v/>
      </c>
      <c r="G45" s="19">
        <f>IF(AND(ISNUMBER(SEARCH(","&amp;G$1&amp;",",","&amp;SUBSTITUTE(Catalogo!$F45," ","")&amp;",")),Catalogo!$H45&lt;&gt;"N"),"●","")</f>
        <v/>
      </c>
      <c r="H45" s="19">
        <f>IF(AND(ISNUMBER(SEARCH(","&amp;H$1&amp;",",","&amp;SUBSTITUTE(Catalogo!$F45," ","")&amp;",")),Catalogo!$H45&lt;&gt;"N"),"●","")</f>
        <v/>
      </c>
      <c r="I45" s="19">
        <f>IF(AND(ISNUMBER(SEARCH(","&amp;I$1&amp;",",","&amp;SUBSTITUTE(Catalogo!$F45," ","")&amp;",")),Catalogo!$H45&lt;&gt;"N"),"●","")</f>
        <v/>
      </c>
      <c r="J45" s="19">
        <f>IF(AND(ISNUMBER(SEARCH(","&amp;J$1&amp;",",","&amp;SUBSTITUTE(Catalogo!$F45," ","")&amp;",")),Catalogo!$H45&lt;&gt;"N"),"●","")</f>
        <v/>
      </c>
      <c r="K45" s="19">
        <f>IF(AND(ISNUMBER(SEARCH(","&amp;K$1&amp;",",","&amp;SUBSTITUTE(Catalogo!$F45," ","")&amp;",")),Catalogo!$H45&lt;&gt;"N"),"●","")</f>
        <v/>
      </c>
      <c r="L45" s="19">
        <f>IF(AND(ISNUMBER(SEARCH(","&amp;L$1&amp;",",","&amp;SUBSTITUTE(Catalogo!$F45," ","")&amp;",")),Catalogo!$H45&lt;&gt;"N"),"●","")</f>
        <v/>
      </c>
      <c r="M45" s="19">
        <f>IF(AND(ISNUMBER(SEARCH(","&amp;M$1&amp;",",","&amp;SUBSTITUTE(Catalogo!$F45," ","")&amp;",")),Catalogo!$H45&lt;&gt;"N"),"●","")</f>
        <v/>
      </c>
    </row>
    <row r="46">
      <c r="A46" s="17">
        <f>Catalogo!A46</f>
        <v/>
      </c>
      <c r="B46" s="17">
        <f>Catalogo!C46</f>
        <v/>
      </c>
      <c r="C46" s="19">
        <f>IF(Catalogo!H46="","(vazio)",Catalogo!H46)</f>
        <v/>
      </c>
      <c r="D46" s="19">
        <f>IF(AND(ISNUMBER(SEARCH(","&amp;D$1&amp;",",","&amp;SUBSTITUTE(Catalogo!$F46," ","")&amp;",")),Catalogo!$H46&lt;&gt;"N"),"●","")</f>
        <v/>
      </c>
      <c r="E46" s="19">
        <f>IF(AND(ISNUMBER(SEARCH(","&amp;E$1&amp;",",","&amp;SUBSTITUTE(Catalogo!$F46," ","")&amp;",")),Catalogo!$H46&lt;&gt;"N"),"●","")</f>
        <v/>
      </c>
      <c r="F46" s="19">
        <f>IF(AND(ISNUMBER(SEARCH(","&amp;F$1&amp;",",","&amp;SUBSTITUTE(Catalogo!$F46," ","")&amp;",")),Catalogo!$H46&lt;&gt;"N"),"●","")</f>
        <v/>
      </c>
      <c r="G46" s="19">
        <f>IF(AND(ISNUMBER(SEARCH(","&amp;G$1&amp;",",","&amp;SUBSTITUTE(Catalogo!$F46," ","")&amp;",")),Catalogo!$H46&lt;&gt;"N"),"●","")</f>
        <v/>
      </c>
      <c r="H46" s="19">
        <f>IF(AND(ISNUMBER(SEARCH(","&amp;H$1&amp;",",","&amp;SUBSTITUTE(Catalogo!$F46," ","")&amp;",")),Catalogo!$H46&lt;&gt;"N"),"●","")</f>
        <v/>
      </c>
      <c r="I46" s="19">
        <f>IF(AND(ISNUMBER(SEARCH(","&amp;I$1&amp;",",","&amp;SUBSTITUTE(Catalogo!$F46," ","")&amp;",")),Catalogo!$H46&lt;&gt;"N"),"●","")</f>
        <v/>
      </c>
      <c r="J46" s="19">
        <f>IF(AND(ISNUMBER(SEARCH(","&amp;J$1&amp;",",","&amp;SUBSTITUTE(Catalogo!$F46," ","")&amp;",")),Catalogo!$H46&lt;&gt;"N"),"●","")</f>
        <v/>
      </c>
      <c r="K46" s="19">
        <f>IF(AND(ISNUMBER(SEARCH(","&amp;K$1&amp;",",","&amp;SUBSTITUTE(Catalogo!$F46," ","")&amp;",")),Catalogo!$H46&lt;&gt;"N"),"●","")</f>
        <v/>
      </c>
      <c r="L46" s="19">
        <f>IF(AND(ISNUMBER(SEARCH(","&amp;L$1&amp;",",","&amp;SUBSTITUTE(Catalogo!$F46," ","")&amp;",")),Catalogo!$H46&lt;&gt;"N"),"●","")</f>
        <v/>
      </c>
      <c r="M46" s="19">
        <f>IF(AND(ISNUMBER(SEARCH(","&amp;M$1&amp;",",","&amp;SUBSTITUTE(Catalogo!$F46," ","")&amp;",")),Catalogo!$H46&lt;&gt;"N"),"●","")</f>
        <v/>
      </c>
    </row>
    <row r="47">
      <c r="A47" s="17">
        <f>Catalogo!A47</f>
        <v/>
      </c>
      <c r="B47" s="17">
        <f>Catalogo!C47</f>
        <v/>
      </c>
      <c r="C47" s="19">
        <f>IF(Catalogo!H47="","(vazio)",Catalogo!H47)</f>
        <v/>
      </c>
      <c r="D47" s="19">
        <f>IF(AND(ISNUMBER(SEARCH(","&amp;D$1&amp;",",","&amp;SUBSTITUTE(Catalogo!$F47," ","")&amp;",")),Catalogo!$H47&lt;&gt;"N"),"●","")</f>
        <v/>
      </c>
      <c r="E47" s="19">
        <f>IF(AND(ISNUMBER(SEARCH(","&amp;E$1&amp;",",","&amp;SUBSTITUTE(Catalogo!$F47," ","")&amp;",")),Catalogo!$H47&lt;&gt;"N"),"●","")</f>
        <v/>
      </c>
      <c r="F47" s="19">
        <f>IF(AND(ISNUMBER(SEARCH(","&amp;F$1&amp;",",","&amp;SUBSTITUTE(Catalogo!$F47," ","")&amp;",")),Catalogo!$H47&lt;&gt;"N"),"●","")</f>
        <v/>
      </c>
      <c r="G47" s="19">
        <f>IF(AND(ISNUMBER(SEARCH(","&amp;G$1&amp;",",","&amp;SUBSTITUTE(Catalogo!$F47," ","")&amp;",")),Catalogo!$H47&lt;&gt;"N"),"●","")</f>
        <v/>
      </c>
      <c r="H47" s="19">
        <f>IF(AND(ISNUMBER(SEARCH(","&amp;H$1&amp;",",","&amp;SUBSTITUTE(Catalogo!$F47," ","")&amp;",")),Catalogo!$H47&lt;&gt;"N"),"●","")</f>
        <v/>
      </c>
      <c r="I47" s="19">
        <f>IF(AND(ISNUMBER(SEARCH(","&amp;I$1&amp;",",","&amp;SUBSTITUTE(Catalogo!$F47," ","")&amp;",")),Catalogo!$H47&lt;&gt;"N"),"●","")</f>
        <v/>
      </c>
      <c r="J47" s="19">
        <f>IF(AND(ISNUMBER(SEARCH(","&amp;J$1&amp;",",","&amp;SUBSTITUTE(Catalogo!$F47," ","")&amp;",")),Catalogo!$H47&lt;&gt;"N"),"●","")</f>
        <v/>
      </c>
      <c r="K47" s="19">
        <f>IF(AND(ISNUMBER(SEARCH(","&amp;K$1&amp;",",","&amp;SUBSTITUTE(Catalogo!$F47," ","")&amp;",")),Catalogo!$H47&lt;&gt;"N"),"●","")</f>
        <v/>
      </c>
      <c r="L47" s="19">
        <f>IF(AND(ISNUMBER(SEARCH(","&amp;L$1&amp;",",","&amp;SUBSTITUTE(Catalogo!$F47," ","")&amp;",")),Catalogo!$H47&lt;&gt;"N"),"●","")</f>
        <v/>
      </c>
      <c r="M47" s="19">
        <f>IF(AND(ISNUMBER(SEARCH(","&amp;M$1&amp;",",","&amp;SUBSTITUTE(Catalogo!$F47," ","")&amp;",")),Catalogo!$H47&lt;&gt;"N"),"●","")</f>
        <v/>
      </c>
    </row>
    <row r="48">
      <c r="A48" s="17">
        <f>Catalogo!A48</f>
        <v/>
      </c>
      <c r="B48" s="17">
        <f>Catalogo!C48</f>
        <v/>
      </c>
      <c r="C48" s="19">
        <f>IF(Catalogo!H48="","(vazio)",Catalogo!H48)</f>
        <v/>
      </c>
      <c r="D48" s="19">
        <f>IF(AND(ISNUMBER(SEARCH(","&amp;D$1&amp;",",","&amp;SUBSTITUTE(Catalogo!$F48," ","")&amp;",")),Catalogo!$H48&lt;&gt;"N"),"●","")</f>
        <v/>
      </c>
      <c r="E48" s="19">
        <f>IF(AND(ISNUMBER(SEARCH(","&amp;E$1&amp;",",","&amp;SUBSTITUTE(Catalogo!$F48," ","")&amp;",")),Catalogo!$H48&lt;&gt;"N"),"●","")</f>
        <v/>
      </c>
      <c r="F48" s="19">
        <f>IF(AND(ISNUMBER(SEARCH(","&amp;F$1&amp;",",","&amp;SUBSTITUTE(Catalogo!$F48," ","")&amp;",")),Catalogo!$H48&lt;&gt;"N"),"●","")</f>
        <v/>
      </c>
      <c r="G48" s="19">
        <f>IF(AND(ISNUMBER(SEARCH(","&amp;G$1&amp;",",","&amp;SUBSTITUTE(Catalogo!$F48," ","")&amp;",")),Catalogo!$H48&lt;&gt;"N"),"●","")</f>
        <v/>
      </c>
      <c r="H48" s="19">
        <f>IF(AND(ISNUMBER(SEARCH(","&amp;H$1&amp;",",","&amp;SUBSTITUTE(Catalogo!$F48," ","")&amp;",")),Catalogo!$H48&lt;&gt;"N"),"●","")</f>
        <v/>
      </c>
      <c r="I48" s="19">
        <f>IF(AND(ISNUMBER(SEARCH(","&amp;I$1&amp;",",","&amp;SUBSTITUTE(Catalogo!$F48," ","")&amp;",")),Catalogo!$H48&lt;&gt;"N"),"●","")</f>
        <v/>
      </c>
      <c r="J48" s="19">
        <f>IF(AND(ISNUMBER(SEARCH(","&amp;J$1&amp;",",","&amp;SUBSTITUTE(Catalogo!$F48," ","")&amp;",")),Catalogo!$H48&lt;&gt;"N"),"●","")</f>
        <v/>
      </c>
      <c r="K48" s="19">
        <f>IF(AND(ISNUMBER(SEARCH(","&amp;K$1&amp;",",","&amp;SUBSTITUTE(Catalogo!$F48," ","")&amp;",")),Catalogo!$H48&lt;&gt;"N"),"●","")</f>
        <v/>
      </c>
      <c r="L48" s="19">
        <f>IF(AND(ISNUMBER(SEARCH(","&amp;L$1&amp;",",","&amp;SUBSTITUTE(Catalogo!$F48," ","")&amp;",")),Catalogo!$H48&lt;&gt;"N"),"●","")</f>
        <v/>
      </c>
      <c r="M48" s="19">
        <f>IF(AND(ISNUMBER(SEARCH(","&amp;M$1&amp;",",","&amp;SUBSTITUTE(Catalogo!$F48," ","")&amp;",")),Catalogo!$H48&lt;&gt;"N"),"●","")</f>
        <v/>
      </c>
    </row>
    <row r="49">
      <c r="A49" s="17">
        <f>Catalogo!A49</f>
        <v/>
      </c>
      <c r="B49" s="17">
        <f>Catalogo!C49</f>
        <v/>
      </c>
      <c r="C49" s="19">
        <f>IF(Catalogo!H49="","(vazio)",Catalogo!H49)</f>
        <v/>
      </c>
      <c r="D49" s="19">
        <f>IF(AND(ISNUMBER(SEARCH(","&amp;D$1&amp;",",","&amp;SUBSTITUTE(Catalogo!$F49," ","")&amp;",")),Catalogo!$H49&lt;&gt;"N"),"●","")</f>
        <v/>
      </c>
      <c r="E49" s="19">
        <f>IF(AND(ISNUMBER(SEARCH(","&amp;E$1&amp;",",","&amp;SUBSTITUTE(Catalogo!$F49," ","")&amp;",")),Catalogo!$H49&lt;&gt;"N"),"●","")</f>
        <v/>
      </c>
      <c r="F49" s="19">
        <f>IF(AND(ISNUMBER(SEARCH(","&amp;F$1&amp;",",","&amp;SUBSTITUTE(Catalogo!$F49," ","")&amp;",")),Catalogo!$H49&lt;&gt;"N"),"●","")</f>
        <v/>
      </c>
      <c r="G49" s="19">
        <f>IF(AND(ISNUMBER(SEARCH(","&amp;G$1&amp;",",","&amp;SUBSTITUTE(Catalogo!$F49," ","")&amp;",")),Catalogo!$H49&lt;&gt;"N"),"●","")</f>
        <v/>
      </c>
      <c r="H49" s="19">
        <f>IF(AND(ISNUMBER(SEARCH(","&amp;H$1&amp;",",","&amp;SUBSTITUTE(Catalogo!$F49," ","")&amp;",")),Catalogo!$H49&lt;&gt;"N"),"●","")</f>
        <v/>
      </c>
      <c r="I49" s="19">
        <f>IF(AND(ISNUMBER(SEARCH(","&amp;I$1&amp;",",","&amp;SUBSTITUTE(Catalogo!$F49," ","")&amp;",")),Catalogo!$H49&lt;&gt;"N"),"●","")</f>
        <v/>
      </c>
      <c r="J49" s="19">
        <f>IF(AND(ISNUMBER(SEARCH(","&amp;J$1&amp;",",","&amp;SUBSTITUTE(Catalogo!$F49," ","")&amp;",")),Catalogo!$H49&lt;&gt;"N"),"●","")</f>
        <v/>
      </c>
      <c r="K49" s="19">
        <f>IF(AND(ISNUMBER(SEARCH(","&amp;K$1&amp;",",","&amp;SUBSTITUTE(Catalogo!$F49," ","")&amp;",")),Catalogo!$H49&lt;&gt;"N"),"●","")</f>
        <v/>
      </c>
      <c r="L49" s="19">
        <f>IF(AND(ISNUMBER(SEARCH(","&amp;L$1&amp;",",","&amp;SUBSTITUTE(Catalogo!$F49," ","")&amp;",")),Catalogo!$H49&lt;&gt;"N"),"●","")</f>
        <v/>
      </c>
      <c r="M49" s="19">
        <f>IF(AND(ISNUMBER(SEARCH(","&amp;M$1&amp;",",","&amp;SUBSTITUTE(Catalogo!$F49," ","")&amp;",")),Catalogo!$H49&lt;&gt;"N"),"●","")</f>
        <v/>
      </c>
    </row>
    <row r="50">
      <c r="A50" s="17">
        <f>Catalogo!A50</f>
        <v/>
      </c>
      <c r="B50" s="17">
        <f>Catalogo!C50</f>
        <v/>
      </c>
      <c r="C50" s="19">
        <f>IF(Catalogo!H50="","(vazio)",Catalogo!H50)</f>
        <v/>
      </c>
      <c r="D50" s="19">
        <f>IF(AND(ISNUMBER(SEARCH(","&amp;D$1&amp;",",","&amp;SUBSTITUTE(Catalogo!$F50," ","")&amp;",")),Catalogo!$H50&lt;&gt;"N"),"●","")</f>
        <v/>
      </c>
      <c r="E50" s="19">
        <f>IF(AND(ISNUMBER(SEARCH(","&amp;E$1&amp;",",","&amp;SUBSTITUTE(Catalogo!$F50," ","")&amp;",")),Catalogo!$H50&lt;&gt;"N"),"●","")</f>
        <v/>
      </c>
      <c r="F50" s="19">
        <f>IF(AND(ISNUMBER(SEARCH(","&amp;F$1&amp;",",","&amp;SUBSTITUTE(Catalogo!$F50," ","")&amp;",")),Catalogo!$H50&lt;&gt;"N"),"●","")</f>
        <v/>
      </c>
      <c r="G50" s="19">
        <f>IF(AND(ISNUMBER(SEARCH(","&amp;G$1&amp;",",","&amp;SUBSTITUTE(Catalogo!$F50," ","")&amp;",")),Catalogo!$H50&lt;&gt;"N"),"●","")</f>
        <v/>
      </c>
      <c r="H50" s="19">
        <f>IF(AND(ISNUMBER(SEARCH(","&amp;H$1&amp;",",","&amp;SUBSTITUTE(Catalogo!$F50," ","")&amp;",")),Catalogo!$H50&lt;&gt;"N"),"●","")</f>
        <v/>
      </c>
      <c r="I50" s="19">
        <f>IF(AND(ISNUMBER(SEARCH(","&amp;I$1&amp;",",","&amp;SUBSTITUTE(Catalogo!$F50," ","")&amp;",")),Catalogo!$H50&lt;&gt;"N"),"●","")</f>
        <v/>
      </c>
      <c r="J50" s="19">
        <f>IF(AND(ISNUMBER(SEARCH(","&amp;J$1&amp;",",","&amp;SUBSTITUTE(Catalogo!$F50," ","")&amp;",")),Catalogo!$H50&lt;&gt;"N"),"●","")</f>
        <v/>
      </c>
      <c r="K50" s="19">
        <f>IF(AND(ISNUMBER(SEARCH(","&amp;K$1&amp;",",","&amp;SUBSTITUTE(Catalogo!$F50," ","")&amp;",")),Catalogo!$H50&lt;&gt;"N"),"●","")</f>
        <v/>
      </c>
      <c r="L50" s="19">
        <f>IF(AND(ISNUMBER(SEARCH(","&amp;L$1&amp;",",","&amp;SUBSTITUTE(Catalogo!$F50," ","")&amp;",")),Catalogo!$H50&lt;&gt;"N"),"●","")</f>
        <v/>
      </c>
      <c r="M50" s="19">
        <f>IF(AND(ISNUMBER(SEARCH(","&amp;M$1&amp;",",","&amp;SUBSTITUTE(Catalogo!$F50," ","")&amp;",")),Catalogo!$H50&lt;&gt;"N"),"●","")</f>
        <v/>
      </c>
    </row>
    <row r="51">
      <c r="A51" s="17">
        <f>Catalogo!A51</f>
        <v/>
      </c>
      <c r="B51" s="17">
        <f>Catalogo!C51</f>
        <v/>
      </c>
      <c r="C51" s="19">
        <f>IF(Catalogo!H51="","(vazio)",Catalogo!H51)</f>
        <v/>
      </c>
      <c r="D51" s="19">
        <f>IF(AND(ISNUMBER(SEARCH(","&amp;D$1&amp;",",","&amp;SUBSTITUTE(Catalogo!$F51," ","")&amp;",")),Catalogo!$H51&lt;&gt;"N"),"●","")</f>
        <v/>
      </c>
      <c r="E51" s="19">
        <f>IF(AND(ISNUMBER(SEARCH(","&amp;E$1&amp;",",","&amp;SUBSTITUTE(Catalogo!$F51," ","")&amp;",")),Catalogo!$H51&lt;&gt;"N"),"●","")</f>
        <v/>
      </c>
      <c r="F51" s="19">
        <f>IF(AND(ISNUMBER(SEARCH(","&amp;F$1&amp;",",","&amp;SUBSTITUTE(Catalogo!$F51," ","")&amp;",")),Catalogo!$H51&lt;&gt;"N"),"●","")</f>
        <v/>
      </c>
      <c r="G51" s="19">
        <f>IF(AND(ISNUMBER(SEARCH(","&amp;G$1&amp;",",","&amp;SUBSTITUTE(Catalogo!$F51," ","")&amp;",")),Catalogo!$H51&lt;&gt;"N"),"●","")</f>
        <v/>
      </c>
      <c r="H51" s="19">
        <f>IF(AND(ISNUMBER(SEARCH(","&amp;H$1&amp;",",","&amp;SUBSTITUTE(Catalogo!$F51," ","")&amp;",")),Catalogo!$H51&lt;&gt;"N"),"●","")</f>
        <v/>
      </c>
      <c r="I51" s="19">
        <f>IF(AND(ISNUMBER(SEARCH(","&amp;I$1&amp;",",","&amp;SUBSTITUTE(Catalogo!$F51," ","")&amp;",")),Catalogo!$H51&lt;&gt;"N"),"●","")</f>
        <v/>
      </c>
      <c r="J51" s="19">
        <f>IF(AND(ISNUMBER(SEARCH(","&amp;J$1&amp;",",","&amp;SUBSTITUTE(Catalogo!$F51," ","")&amp;",")),Catalogo!$H51&lt;&gt;"N"),"●","")</f>
        <v/>
      </c>
      <c r="K51" s="19">
        <f>IF(AND(ISNUMBER(SEARCH(","&amp;K$1&amp;",",","&amp;SUBSTITUTE(Catalogo!$F51," ","")&amp;",")),Catalogo!$H51&lt;&gt;"N"),"●","")</f>
        <v/>
      </c>
      <c r="L51" s="19">
        <f>IF(AND(ISNUMBER(SEARCH(","&amp;L$1&amp;",",","&amp;SUBSTITUTE(Catalogo!$F51," ","")&amp;",")),Catalogo!$H51&lt;&gt;"N"),"●","")</f>
        <v/>
      </c>
      <c r="M51" s="19">
        <f>IF(AND(ISNUMBER(SEARCH(","&amp;M$1&amp;",",","&amp;SUBSTITUTE(Catalogo!$F51," ","")&amp;",")),Catalogo!$H51&lt;&gt;"N"),"●","")</f>
        <v/>
      </c>
    </row>
    <row r="52">
      <c r="A52" s="17">
        <f>Catalogo!A52</f>
        <v/>
      </c>
      <c r="B52" s="17">
        <f>Catalogo!C52</f>
        <v/>
      </c>
      <c r="C52" s="19">
        <f>IF(Catalogo!H52="","(vazio)",Catalogo!H52)</f>
        <v/>
      </c>
      <c r="D52" s="19">
        <f>IF(AND(ISNUMBER(SEARCH(","&amp;D$1&amp;",",","&amp;SUBSTITUTE(Catalogo!$F52," ","")&amp;",")),Catalogo!$H52&lt;&gt;"N"),"●","")</f>
        <v/>
      </c>
      <c r="E52" s="19">
        <f>IF(AND(ISNUMBER(SEARCH(","&amp;E$1&amp;",",","&amp;SUBSTITUTE(Catalogo!$F52," ","")&amp;",")),Catalogo!$H52&lt;&gt;"N"),"●","")</f>
        <v/>
      </c>
      <c r="F52" s="19">
        <f>IF(AND(ISNUMBER(SEARCH(","&amp;F$1&amp;",",","&amp;SUBSTITUTE(Catalogo!$F52," ","")&amp;",")),Catalogo!$H52&lt;&gt;"N"),"●","")</f>
        <v/>
      </c>
      <c r="G52" s="19">
        <f>IF(AND(ISNUMBER(SEARCH(","&amp;G$1&amp;",",","&amp;SUBSTITUTE(Catalogo!$F52," ","")&amp;",")),Catalogo!$H52&lt;&gt;"N"),"●","")</f>
        <v/>
      </c>
      <c r="H52" s="19">
        <f>IF(AND(ISNUMBER(SEARCH(","&amp;H$1&amp;",",","&amp;SUBSTITUTE(Catalogo!$F52," ","")&amp;",")),Catalogo!$H52&lt;&gt;"N"),"●","")</f>
        <v/>
      </c>
      <c r="I52" s="19">
        <f>IF(AND(ISNUMBER(SEARCH(","&amp;I$1&amp;",",","&amp;SUBSTITUTE(Catalogo!$F52," ","")&amp;",")),Catalogo!$H52&lt;&gt;"N"),"●","")</f>
        <v/>
      </c>
      <c r="J52" s="19">
        <f>IF(AND(ISNUMBER(SEARCH(","&amp;J$1&amp;",",","&amp;SUBSTITUTE(Catalogo!$F52," ","")&amp;",")),Catalogo!$H52&lt;&gt;"N"),"●","")</f>
        <v/>
      </c>
      <c r="K52" s="19">
        <f>IF(AND(ISNUMBER(SEARCH(","&amp;K$1&amp;",",","&amp;SUBSTITUTE(Catalogo!$F52," ","")&amp;",")),Catalogo!$H52&lt;&gt;"N"),"●","")</f>
        <v/>
      </c>
      <c r="L52" s="19">
        <f>IF(AND(ISNUMBER(SEARCH(","&amp;L$1&amp;",",","&amp;SUBSTITUTE(Catalogo!$F52," ","")&amp;",")),Catalogo!$H52&lt;&gt;"N"),"●","")</f>
        <v/>
      </c>
      <c r="M52" s="19">
        <f>IF(AND(ISNUMBER(SEARCH(","&amp;M$1&amp;",",","&amp;SUBSTITUTE(Catalogo!$F52," ","")&amp;",")),Catalogo!$H52&lt;&gt;"N"),"●","")</f>
        <v/>
      </c>
    </row>
    <row r="53">
      <c r="A53" s="17">
        <f>Catalogo!A53</f>
        <v/>
      </c>
      <c r="B53" s="17">
        <f>Catalogo!C53</f>
        <v/>
      </c>
      <c r="C53" s="19">
        <f>IF(Catalogo!H53="","(vazio)",Catalogo!H53)</f>
        <v/>
      </c>
      <c r="D53" s="19">
        <f>IF(AND(ISNUMBER(SEARCH(","&amp;D$1&amp;",",","&amp;SUBSTITUTE(Catalogo!$F53," ","")&amp;",")),Catalogo!$H53&lt;&gt;"N"),"●","")</f>
        <v/>
      </c>
      <c r="E53" s="19">
        <f>IF(AND(ISNUMBER(SEARCH(","&amp;E$1&amp;",",","&amp;SUBSTITUTE(Catalogo!$F53," ","")&amp;",")),Catalogo!$H53&lt;&gt;"N"),"●","")</f>
        <v/>
      </c>
      <c r="F53" s="19">
        <f>IF(AND(ISNUMBER(SEARCH(","&amp;F$1&amp;",",","&amp;SUBSTITUTE(Catalogo!$F53," ","")&amp;",")),Catalogo!$H53&lt;&gt;"N"),"●","")</f>
        <v/>
      </c>
      <c r="G53" s="19">
        <f>IF(AND(ISNUMBER(SEARCH(","&amp;G$1&amp;",",","&amp;SUBSTITUTE(Catalogo!$F53," ","")&amp;",")),Catalogo!$H53&lt;&gt;"N"),"●","")</f>
        <v/>
      </c>
      <c r="H53" s="19">
        <f>IF(AND(ISNUMBER(SEARCH(","&amp;H$1&amp;",",","&amp;SUBSTITUTE(Catalogo!$F53," ","")&amp;",")),Catalogo!$H53&lt;&gt;"N"),"●","")</f>
        <v/>
      </c>
      <c r="I53" s="19">
        <f>IF(AND(ISNUMBER(SEARCH(","&amp;I$1&amp;",",","&amp;SUBSTITUTE(Catalogo!$F53," ","")&amp;",")),Catalogo!$H53&lt;&gt;"N"),"●","")</f>
        <v/>
      </c>
      <c r="J53" s="19">
        <f>IF(AND(ISNUMBER(SEARCH(","&amp;J$1&amp;",",","&amp;SUBSTITUTE(Catalogo!$F53," ","")&amp;",")),Catalogo!$H53&lt;&gt;"N"),"●","")</f>
        <v/>
      </c>
      <c r="K53" s="19">
        <f>IF(AND(ISNUMBER(SEARCH(","&amp;K$1&amp;",",","&amp;SUBSTITUTE(Catalogo!$F53," ","")&amp;",")),Catalogo!$H53&lt;&gt;"N"),"●","")</f>
        <v/>
      </c>
      <c r="L53" s="19">
        <f>IF(AND(ISNUMBER(SEARCH(","&amp;L$1&amp;",",","&amp;SUBSTITUTE(Catalogo!$F53," ","")&amp;",")),Catalogo!$H53&lt;&gt;"N"),"●","")</f>
        <v/>
      </c>
      <c r="M53" s="19">
        <f>IF(AND(ISNUMBER(SEARCH(","&amp;M$1&amp;",",","&amp;SUBSTITUTE(Catalogo!$F53," ","")&amp;",")),Catalogo!$H53&lt;&gt;"N"),"●","")</f>
        <v/>
      </c>
    </row>
    <row r="54">
      <c r="A54" s="17">
        <f>Catalogo!A54</f>
        <v/>
      </c>
      <c r="B54" s="17">
        <f>Catalogo!C54</f>
        <v/>
      </c>
      <c r="C54" s="19">
        <f>IF(Catalogo!H54="","(vazio)",Catalogo!H54)</f>
        <v/>
      </c>
      <c r="D54" s="19">
        <f>IF(AND(ISNUMBER(SEARCH(","&amp;D$1&amp;",",","&amp;SUBSTITUTE(Catalogo!$F54," ","")&amp;",")),Catalogo!$H54&lt;&gt;"N"),"●","")</f>
        <v/>
      </c>
      <c r="E54" s="19">
        <f>IF(AND(ISNUMBER(SEARCH(","&amp;E$1&amp;",",","&amp;SUBSTITUTE(Catalogo!$F54," ","")&amp;",")),Catalogo!$H54&lt;&gt;"N"),"●","")</f>
        <v/>
      </c>
      <c r="F54" s="19">
        <f>IF(AND(ISNUMBER(SEARCH(","&amp;F$1&amp;",",","&amp;SUBSTITUTE(Catalogo!$F54," ","")&amp;",")),Catalogo!$H54&lt;&gt;"N"),"●","")</f>
        <v/>
      </c>
      <c r="G54" s="19">
        <f>IF(AND(ISNUMBER(SEARCH(","&amp;G$1&amp;",",","&amp;SUBSTITUTE(Catalogo!$F54," ","")&amp;",")),Catalogo!$H54&lt;&gt;"N"),"●","")</f>
        <v/>
      </c>
      <c r="H54" s="19">
        <f>IF(AND(ISNUMBER(SEARCH(","&amp;H$1&amp;",",","&amp;SUBSTITUTE(Catalogo!$F54," ","")&amp;",")),Catalogo!$H54&lt;&gt;"N"),"●","")</f>
        <v/>
      </c>
      <c r="I54" s="19">
        <f>IF(AND(ISNUMBER(SEARCH(","&amp;I$1&amp;",",","&amp;SUBSTITUTE(Catalogo!$F54," ","")&amp;",")),Catalogo!$H54&lt;&gt;"N"),"●","")</f>
        <v/>
      </c>
      <c r="J54" s="19">
        <f>IF(AND(ISNUMBER(SEARCH(","&amp;J$1&amp;",",","&amp;SUBSTITUTE(Catalogo!$F54," ","")&amp;",")),Catalogo!$H54&lt;&gt;"N"),"●","")</f>
        <v/>
      </c>
      <c r="K54" s="19">
        <f>IF(AND(ISNUMBER(SEARCH(","&amp;K$1&amp;",",","&amp;SUBSTITUTE(Catalogo!$F54," ","")&amp;",")),Catalogo!$H54&lt;&gt;"N"),"●","")</f>
        <v/>
      </c>
      <c r="L54" s="19">
        <f>IF(AND(ISNUMBER(SEARCH(","&amp;L$1&amp;",",","&amp;SUBSTITUTE(Catalogo!$F54," ","")&amp;",")),Catalogo!$H54&lt;&gt;"N"),"●","")</f>
        <v/>
      </c>
      <c r="M54" s="19">
        <f>IF(AND(ISNUMBER(SEARCH(","&amp;M$1&amp;",",","&amp;SUBSTITUTE(Catalogo!$F54," ","")&amp;",")),Catalogo!$H54&lt;&gt;"N"),"●","")</f>
        <v/>
      </c>
    </row>
    <row r="55">
      <c r="A55" s="17">
        <f>Catalogo!A55</f>
        <v/>
      </c>
      <c r="B55" s="17">
        <f>Catalogo!C55</f>
        <v/>
      </c>
      <c r="C55" s="19">
        <f>IF(Catalogo!H55="","(vazio)",Catalogo!H55)</f>
        <v/>
      </c>
      <c r="D55" s="19">
        <f>IF(AND(ISNUMBER(SEARCH(","&amp;D$1&amp;",",","&amp;SUBSTITUTE(Catalogo!$F55," ","")&amp;",")),Catalogo!$H55&lt;&gt;"N"),"●","")</f>
        <v/>
      </c>
      <c r="E55" s="19">
        <f>IF(AND(ISNUMBER(SEARCH(","&amp;E$1&amp;",",","&amp;SUBSTITUTE(Catalogo!$F55," ","")&amp;",")),Catalogo!$H55&lt;&gt;"N"),"●","")</f>
        <v/>
      </c>
      <c r="F55" s="19">
        <f>IF(AND(ISNUMBER(SEARCH(","&amp;F$1&amp;",",","&amp;SUBSTITUTE(Catalogo!$F55," ","")&amp;",")),Catalogo!$H55&lt;&gt;"N"),"●","")</f>
        <v/>
      </c>
      <c r="G55" s="19">
        <f>IF(AND(ISNUMBER(SEARCH(","&amp;G$1&amp;",",","&amp;SUBSTITUTE(Catalogo!$F55," ","")&amp;",")),Catalogo!$H55&lt;&gt;"N"),"●","")</f>
        <v/>
      </c>
      <c r="H55" s="19">
        <f>IF(AND(ISNUMBER(SEARCH(","&amp;H$1&amp;",",","&amp;SUBSTITUTE(Catalogo!$F55," ","")&amp;",")),Catalogo!$H55&lt;&gt;"N"),"●","")</f>
        <v/>
      </c>
      <c r="I55" s="19">
        <f>IF(AND(ISNUMBER(SEARCH(","&amp;I$1&amp;",",","&amp;SUBSTITUTE(Catalogo!$F55," ","")&amp;",")),Catalogo!$H55&lt;&gt;"N"),"●","")</f>
        <v/>
      </c>
      <c r="J55" s="19">
        <f>IF(AND(ISNUMBER(SEARCH(","&amp;J$1&amp;",",","&amp;SUBSTITUTE(Catalogo!$F55," ","")&amp;",")),Catalogo!$H55&lt;&gt;"N"),"●","")</f>
        <v/>
      </c>
      <c r="K55" s="19">
        <f>IF(AND(ISNUMBER(SEARCH(","&amp;K$1&amp;",",","&amp;SUBSTITUTE(Catalogo!$F55," ","")&amp;",")),Catalogo!$H55&lt;&gt;"N"),"●","")</f>
        <v/>
      </c>
      <c r="L55" s="19">
        <f>IF(AND(ISNUMBER(SEARCH(","&amp;L$1&amp;",",","&amp;SUBSTITUTE(Catalogo!$F55," ","")&amp;",")),Catalogo!$H55&lt;&gt;"N"),"●","")</f>
        <v/>
      </c>
      <c r="M55" s="19">
        <f>IF(AND(ISNUMBER(SEARCH(","&amp;M$1&amp;",",","&amp;SUBSTITUTE(Catalogo!$F55," ","")&amp;",")),Catalogo!$H55&lt;&gt;"N"),"●","")</f>
        <v/>
      </c>
    </row>
    <row r="56">
      <c r="A56" s="17">
        <f>Catalogo!A56</f>
        <v/>
      </c>
      <c r="B56" s="17">
        <f>Catalogo!C56</f>
        <v/>
      </c>
      <c r="C56" s="19">
        <f>IF(Catalogo!H56="","(vazio)",Catalogo!H56)</f>
        <v/>
      </c>
      <c r="D56" s="19">
        <f>IF(AND(ISNUMBER(SEARCH(","&amp;D$1&amp;",",","&amp;SUBSTITUTE(Catalogo!$F56," ","")&amp;",")),Catalogo!$H56&lt;&gt;"N"),"●","")</f>
        <v/>
      </c>
      <c r="E56" s="19">
        <f>IF(AND(ISNUMBER(SEARCH(","&amp;E$1&amp;",",","&amp;SUBSTITUTE(Catalogo!$F56," ","")&amp;",")),Catalogo!$H56&lt;&gt;"N"),"●","")</f>
        <v/>
      </c>
      <c r="F56" s="19">
        <f>IF(AND(ISNUMBER(SEARCH(","&amp;F$1&amp;",",","&amp;SUBSTITUTE(Catalogo!$F56," ","")&amp;",")),Catalogo!$H56&lt;&gt;"N"),"●","")</f>
        <v/>
      </c>
      <c r="G56" s="19">
        <f>IF(AND(ISNUMBER(SEARCH(","&amp;G$1&amp;",",","&amp;SUBSTITUTE(Catalogo!$F56," ","")&amp;",")),Catalogo!$H56&lt;&gt;"N"),"●","")</f>
        <v/>
      </c>
      <c r="H56" s="19">
        <f>IF(AND(ISNUMBER(SEARCH(","&amp;H$1&amp;",",","&amp;SUBSTITUTE(Catalogo!$F56," ","")&amp;",")),Catalogo!$H56&lt;&gt;"N"),"●","")</f>
        <v/>
      </c>
      <c r="I56" s="19">
        <f>IF(AND(ISNUMBER(SEARCH(","&amp;I$1&amp;",",","&amp;SUBSTITUTE(Catalogo!$F56," ","")&amp;",")),Catalogo!$H56&lt;&gt;"N"),"●","")</f>
        <v/>
      </c>
      <c r="J56" s="19">
        <f>IF(AND(ISNUMBER(SEARCH(","&amp;J$1&amp;",",","&amp;SUBSTITUTE(Catalogo!$F56," ","")&amp;",")),Catalogo!$H56&lt;&gt;"N"),"●","")</f>
        <v/>
      </c>
      <c r="K56" s="19">
        <f>IF(AND(ISNUMBER(SEARCH(","&amp;K$1&amp;",",","&amp;SUBSTITUTE(Catalogo!$F56," ","")&amp;",")),Catalogo!$H56&lt;&gt;"N"),"●","")</f>
        <v/>
      </c>
      <c r="L56" s="19">
        <f>IF(AND(ISNUMBER(SEARCH(","&amp;L$1&amp;",",","&amp;SUBSTITUTE(Catalogo!$F56," ","")&amp;",")),Catalogo!$H56&lt;&gt;"N"),"●","")</f>
        <v/>
      </c>
      <c r="M56" s="19">
        <f>IF(AND(ISNUMBER(SEARCH(","&amp;M$1&amp;",",","&amp;SUBSTITUTE(Catalogo!$F56," ","")&amp;",")),Catalogo!$H56&lt;&gt;"N"),"●","")</f>
        <v/>
      </c>
    </row>
    <row r="57">
      <c r="A57" s="17">
        <f>Catalogo!A57</f>
        <v/>
      </c>
      <c r="B57" s="17">
        <f>Catalogo!C57</f>
        <v/>
      </c>
      <c r="C57" s="19">
        <f>IF(Catalogo!H57="","(vazio)",Catalogo!H57)</f>
        <v/>
      </c>
      <c r="D57" s="19">
        <f>IF(AND(ISNUMBER(SEARCH(","&amp;D$1&amp;",",","&amp;SUBSTITUTE(Catalogo!$F57," ","")&amp;",")),Catalogo!$H57&lt;&gt;"N"),"●","")</f>
        <v/>
      </c>
      <c r="E57" s="19">
        <f>IF(AND(ISNUMBER(SEARCH(","&amp;E$1&amp;",",","&amp;SUBSTITUTE(Catalogo!$F57," ","")&amp;",")),Catalogo!$H57&lt;&gt;"N"),"●","")</f>
        <v/>
      </c>
      <c r="F57" s="19">
        <f>IF(AND(ISNUMBER(SEARCH(","&amp;F$1&amp;",",","&amp;SUBSTITUTE(Catalogo!$F57," ","")&amp;",")),Catalogo!$H57&lt;&gt;"N"),"●","")</f>
        <v/>
      </c>
      <c r="G57" s="19">
        <f>IF(AND(ISNUMBER(SEARCH(","&amp;G$1&amp;",",","&amp;SUBSTITUTE(Catalogo!$F57," ","")&amp;",")),Catalogo!$H57&lt;&gt;"N"),"●","")</f>
        <v/>
      </c>
      <c r="H57" s="19">
        <f>IF(AND(ISNUMBER(SEARCH(","&amp;H$1&amp;",",","&amp;SUBSTITUTE(Catalogo!$F57," ","")&amp;",")),Catalogo!$H57&lt;&gt;"N"),"●","")</f>
        <v/>
      </c>
      <c r="I57" s="19">
        <f>IF(AND(ISNUMBER(SEARCH(","&amp;I$1&amp;",",","&amp;SUBSTITUTE(Catalogo!$F57," ","")&amp;",")),Catalogo!$H57&lt;&gt;"N"),"●","")</f>
        <v/>
      </c>
      <c r="J57" s="19">
        <f>IF(AND(ISNUMBER(SEARCH(","&amp;J$1&amp;",",","&amp;SUBSTITUTE(Catalogo!$F57," ","")&amp;",")),Catalogo!$H57&lt;&gt;"N"),"●","")</f>
        <v/>
      </c>
      <c r="K57" s="19">
        <f>IF(AND(ISNUMBER(SEARCH(","&amp;K$1&amp;",",","&amp;SUBSTITUTE(Catalogo!$F57," ","")&amp;",")),Catalogo!$H57&lt;&gt;"N"),"●","")</f>
        <v/>
      </c>
      <c r="L57" s="19">
        <f>IF(AND(ISNUMBER(SEARCH(","&amp;L$1&amp;",",","&amp;SUBSTITUTE(Catalogo!$F57," ","")&amp;",")),Catalogo!$H57&lt;&gt;"N"),"●","")</f>
        <v/>
      </c>
      <c r="M57" s="19">
        <f>IF(AND(ISNUMBER(SEARCH(","&amp;M$1&amp;",",","&amp;SUBSTITUTE(Catalogo!$F57," ","")&amp;",")),Catalogo!$H57&lt;&gt;"N"),"●","")</f>
        <v/>
      </c>
    </row>
    <row r="58">
      <c r="A58" s="17">
        <f>Catalogo!A58</f>
        <v/>
      </c>
      <c r="B58" s="17">
        <f>Catalogo!C58</f>
        <v/>
      </c>
      <c r="C58" s="19">
        <f>IF(Catalogo!H58="","(vazio)",Catalogo!H58)</f>
        <v/>
      </c>
      <c r="D58" s="19">
        <f>IF(AND(ISNUMBER(SEARCH(","&amp;D$1&amp;",",","&amp;SUBSTITUTE(Catalogo!$F58," ","")&amp;",")),Catalogo!$H58&lt;&gt;"N"),"●","")</f>
        <v/>
      </c>
      <c r="E58" s="19">
        <f>IF(AND(ISNUMBER(SEARCH(","&amp;E$1&amp;",",","&amp;SUBSTITUTE(Catalogo!$F58," ","")&amp;",")),Catalogo!$H58&lt;&gt;"N"),"●","")</f>
        <v/>
      </c>
      <c r="F58" s="19">
        <f>IF(AND(ISNUMBER(SEARCH(","&amp;F$1&amp;",",","&amp;SUBSTITUTE(Catalogo!$F58," ","")&amp;",")),Catalogo!$H58&lt;&gt;"N"),"●","")</f>
        <v/>
      </c>
      <c r="G58" s="19">
        <f>IF(AND(ISNUMBER(SEARCH(","&amp;G$1&amp;",",","&amp;SUBSTITUTE(Catalogo!$F58," ","")&amp;",")),Catalogo!$H58&lt;&gt;"N"),"●","")</f>
        <v/>
      </c>
      <c r="H58" s="19">
        <f>IF(AND(ISNUMBER(SEARCH(","&amp;H$1&amp;",",","&amp;SUBSTITUTE(Catalogo!$F58," ","")&amp;",")),Catalogo!$H58&lt;&gt;"N"),"●","")</f>
        <v/>
      </c>
      <c r="I58" s="19">
        <f>IF(AND(ISNUMBER(SEARCH(","&amp;I$1&amp;",",","&amp;SUBSTITUTE(Catalogo!$F58," ","")&amp;",")),Catalogo!$H58&lt;&gt;"N"),"●","")</f>
        <v/>
      </c>
      <c r="J58" s="19">
        <f>IF(AND(ISNUMBER(SEARCH(","&amp;J$1&amp;",",","&amp;SUBSTITUTE(Catalogo!$F58," ","")&amp;",")),Catalogo!$H58&lt;&gt;"N"),"●","")</f>
        <v/>
      </c>
      <c r="K58" s="19">
        <f>IF(AND(ISNUMBER(SEARCH(","&amp;K$1&amp;",",","&amp;SUBSTITUTE(Catalogo!$F58," ","")&amp;",")),Catalogo!$H58&lt;&gt;"N"),"●","")</f>
        <v/>
      </c>
      <c r="L58" s="19">
        <f>IF(AND(ISNUMBER(SEARCH(","&amp;L$1&amp;",",","&amp;SUBSTITUTE(Catalogo!$F58," ","")&amp;",")),Catalogo!$H58&lt;&gt;"N"),"●","")</f>
        <v/>
      </c>
      <c r="M58" s="19">
        <f>IF(AND(ISNUMBER(SEARCH(","&amp;M$1&amp;",",","&amp;SUBSTITUTE(Catalogo!$F58," ","")&amp;",")),Catalogo!$H58&lt;&gt;"N"),"●","")</f>
        <v/>
      </c>
    </row>
    <row r="59">
      <c r="A59" s="17">
        <f>Catalogo!A59</f>
        <v/>
      </c>
      <c r="B59" s="17">
        <f>Catalogo!C59</f>
        <v/>
      </c>
      <c r="C59" s="19">
        <f>IF(Catalogo!H59="","(vazio)",Catalogo!H59)</f>
        <v/>
      </c>
      <c r="D59" s="19">
        <f>IF(AND(ISNUMBER(SEARCH(","&amp;D$1&amp;",",","&amp;SUBSTITUTE(Catalogo!$F59," ","")&amp;",")),Catalogo!$H59&lt;&gt;"N"),"●","")</f>
        <v/>
      </c>
      <c r="E59" s="19">
        <f>IF(AND(ISNUMBER(SEARCH(","&amp;E$1&amp;",",","&amp;SUBSTITUTE(Catalogo!$F59," ","")&amp;",")),Catalogo!$H59&lt;&gt;"N"),"●","")</f>
        <v/>
      </c>
      <c r="F59" s="19">
        <f>IF(AND(ISNUMBER(SEARCH(","&amp;F$1&amp;",",","&amp;SUBSTITUTE(Catalogo!$F59," ","")&amp;",")),Catalogo!$H59&lt;&gt;"N"),"●","")</f>
        <v/>
      </c>
      <c r="G59" s="19">
        <f>IF(AND(ISNUMBER(SEARCH(","&amp;G$1&amp;",",","&amp;SUBSTITUTE(Catalogo!$F59," ","")&amp;",")),Catalogo!$H59&lt;&gt;"N"),"●","")</f>
        <v/>
      </c>
      <c r="H59" s="19">
        <f>IF(AND(ISNUMBER(SEARCH(","&amp;H$1&amp;",",","&amp;SUBSTITUTE(Catalogo!$F59," ","")&amp;",")),Catalogo!$H59&lt;&gt;"N"),"●","")</f>
        <v/>
      </c>
      <c r="I59" s="19">
        <f>IF(AND(ISNUMBER(SEARCH(","&amp;I$1&amp;",",","&amp;SUBSTITUTE(Catalogo!$F59," ","")&amp;",")),Catalogo!$H59&lt;&gt;"N"),"●","")</f>
        <v/>
      </c>
      <c r="J59" s="19">
        <f>IF(AND(ISNUMBER(SEARCH(","&amp;J$1&amp;",",","&amp;SUBSTITUTE(Catalogo!$F59," ","")&amp;",")),Catalogo!$H59&lt;&gt;"N"),"●","")</f>
        <v/>
      </c>
      <c r="K59" s="19">
        <f>IF(AND(ISNUMBER(SEARCH(","&amp;K$1&amp;",",","&amp;SUBSTITUTE(Catalogo!$F59," ","")&amp;",")),Catalogo!$H59&lt;&gt;"N"),"●","")</f>
        <v/>
      </c>
      <c r="L59" s="19">
        <f>IF(AND(ISNUMBER(SEARCH(","&amp;L$1&amp;",",","&amp;SUBSTITUTE(Catalogo!$F59," ","")&amp;",")),Catalogo!$H59&lt;&gt;"N"),"●","")</f>
        <v/>
      </c>
      <c r="M59" s="19">
        <f>IF(AND(ISNUMBER(SEARCH(","&amp;M$1&amp;",",","&amp;SUBSTITUTE(Catalogo!$F59," ","")&amp;",")),Catalogo!$H59&lt;&gt;"N"),"●","")</f>
        <v/>
      </c>
    </row>
    <row r="60">
      <c r="A60" s="17">
        <f>Catalogo!A60</f>
        <v/>
      </c>
      <c r="B60" s="17">
        <f>Catalogo!C60</f>
        <v/>
      </c>
      <c r="C60" s="19">
        <f>IF(Catalogo!H60="","(vazio)",Catalogo!H60)</f>
        <v/>
      </c>
      <c r="D60" s="19">
        <f>IF(AND(ISNUMBER(SEARCH(","&amp;D$1&amp;",",","&amp;SUBSTITUTE(Catalogo!$F60," ","")&amp;",")),Catalogo!$H60&lt;&gt;"N"),"●","")</f>
        <v/>
      </c>
      <c r="E60" s="19">
        <f>IF(AND(ISNUMBER(SEARCH(","&amp;E$1&amp;",",","&amp;SUBSTITUTE(Catalogo!$F60," ","")&amp;",")),Catalogo!$H60&lt;&gt;"N"),"●","")</f>
        <v/>
      </c>
      <c r="F60" s="19">
        <f>IF(AND(ISNUMBER(SEARCH(","&amp;F$1&amp;",",","&amp;SUBSTITUTE(Catalogo!$F60," ","")&amp;",")),Catalogo!$H60&lt;&gt;"N"),"●","")</f>
        <v/>
      </c>
      <c r="G60" s="19">
        <f>IF(AND(ISNUMBER(SEARCH(","&amp;G$1&amp;",",","&amp;SUBSTITUTE(Catalogo!$F60," ","")&amp;",")),Catalogo!$H60&lt;&gt;"N"),"●","")</f>
        <v/>
      </c>
      <c r="H60" s="19">
        <f>IF(AND(ISNUMBER(SEARCH(","&amp;H$1&amp;",",","&amp;SUBSTITUTE(Catalogo!$F60," ","")&amp;",")),Catalogo!$H60&lt;&gt;"N"),"●","")</f>
        <v/>
      </c>
      <c r="I60" s="19">
        <f>IF(AND(ISNUMBER(SEARCH(","&amp;I$1&amp;",",","&amp;SUBSTITUTE(Catalogo!$F60," ","")&amp;",")),Catalogo!$H60&lt;&gt;"N"),"●","")</f>
        <v/>
      </c>
      <c r="J60" s="19">
        <f>IF(AND(ISNUMBER(SEARCH(","&amp;J$1&amp;",",","&amp;SUBSTITUTE(Catalogo!$F60," ","")&amp;",")),Catalogo!$H60&lt;&gt;"N"),"●","")</f>
        <v/>
      </c>
      <c r="K60" s="19">
        <f>IF(AND(ISNUMBER(SEARCH(","&amp;K$1&amp;",",","&amp;SUBSTITUTE(Catalogo!$F60," ","")&amp;",")),Catalogo!$H60&lt;&gt;"N"),"●","")</f>
        <v/>
      </c>
      <c r="L60" s="19">
        <f>IF(AND(ISNUMBER(SEARCH(","&amp;L$1&amp;",",","&amp;SUBSTITUTE(Catalogo!$F60," ","")&amp;",")),Catalogo!$H60&lt;&gt;"N"),"●","")</f>
        <v/>
      </c>
      <c r="M60" s="19">
        <f>IF(AND(ISNUMBER(SEARCH(","&amp;M$1&amp;",",","&amp;SUBSTITUTE(Catalogo!$F60," ","")&amp;",")),Catalogo!$H60&lt;&gt;"N"),"●","")</f>
        <v/>
      </c>
    </row>
    <row r="61">
      <c r="A61" s="17">
        <f>Catalogo!A61</f>
        <v/>
      </c>
      <c r="B61" s="17">
        <f>Catalogo!C61</f>
        <v/>
      </c>
      <c r="C61" s="19">
        <f>IF(Catalogo!H61="","(vazio)",Catalogo!H61)</f>
        <v/>
      </c>
      <c r="D61" s="19">
        <f>IF(AND(ISNUMBER(SEARCH(","&amp;D$1&amp;",",","&amp;SUBSTITUTE(Catalogo!$F61," ","")&amp;",")),Catalogo!$H61&lt;&gt;"N"),"●","")</f>
        <v/>
      </c>
      <c r="E61" s="19">
        <f>IF(AND(ISNUMBER(SEARCH(","&amp;E$1&amp;",",","&amp;SUBSTITUTE(Catalogo!$F61," ","")&amp;",")),Catalogo!$H61&lt;&gt;"N"),"●","")</f>
        <v/>
      </c>
      <c r="F61" s="19">
        <f>IF(AND(ISNUMBER(SEARCH(","&amp;F$1&amp;",",","&amp;SUBSTITUTE(Catalogo!$F61," ","")&amp;",")),Catalogo!$H61&lt;&gt;"N"),"●","")</f>
        <v/>
      </c>
      <c r="G61" s="19">
        <f>IF(AND(ISNUMBER(SEARCH(","&amp;G$1&amp;",",","&amp;SUBSTITUTE(Catalogo!$F61," ","")&amp;",")),Catalogo!$H61&lt;&gt;"N"),"●","")</f>
        <v/>
      </c>
      <c r="H61" s="19">
        <f>IF(AND(ISNUMBER(SEARCH(","&amp;H$1&amp;",",","&amp;SUBSTITUTE(Catalogo!$F61," ","")&amp;",")),Catalogo!$H61&lt;&gt;"N"),"●","")</f>
        <v/>
      </c>
      <c r="I61" s="19">
        <f>IF(AND(ISNUMBER(SEARCH(","&amp;I$1&amp;",",","&amp;SUBSTITUTE(Catalogo!$F61," ","")&amp;",")),Catalogo!$H61&lt;&gt;"N"),"●","")</f>
        <v/>
      </c>
      <c r="J61" s="19">
        <f>IF(AND(ISNUMBER(SEARCH(","&amp;J$1&amp;",",","&amp;SUBSTITUTE(Catalogo!$F61," ","")&amp;",")),Catalogo!$H61&lt;&gt;"N"),"●","")</f>
        <v/>
      </c>
      <c r="K61" s="19">
        <f>IF(AND(ISNUMBER(SEARCH(","&amp;K$1&amp;",",","&amp;SUBSTITUTE(Catalogo!$F61," ","")&amp;",")),Catalogo!$H61&lt;&gt;"N"),"●","")</f>
        <v/>
      </c>
      <c r="L61" s="19">
        <f>IF(AND(ISNUMBER(SEARCH(","&amp;L$1&amp;",",","&amp;SUBSTITUTE(Catalogo!$F61," ","")&amp;",")),Catalogo!$H61&lt;&gt;"N"),"●","")</f>
        <v/>
      </c>
      <c r="M61" s="19">
        <f>IF(AND(ISNUMBER(SEARCH(","&amp;M$1&amp;",",","&amp;SUBSTITUTE(Catalogo!$F61," ","")&amp;",")),Catalogo!$H61&lt;&gt;"N"),"●","")</f>
        <v/>
      </c>
    </row>
    <row r="62">
      <c r="A62" s="17">
        <f>Catalogo!A62</f>
        <v/>
      </c>
      <c r="B62" s="17">
        <f>Catalogo!C62</f>
        <v/>
      </c>
      <c r="C62" s="19">
        <f>IF(Catalogo!H62="","(vazio)",Catalogo!H62)</f>
        <v/>
      </c>
      <c r="D62" s="19">
        <f>IF(AND(ISNUMBER(SEARCH(","&amp;D$1&amp;",",","&amp;SUBSTITUTE(Catalogo!$F62," ","")&amp;",")),Catalogo!$H62&lt;&gt;"N"),"●","")</f>
        <v/>
      </c>
      <c r="E62" s="19">
        <f>IF(AND(ISNUMBER(SEARCH(","&amp;E$1&amp;",",","&amp;SUBSTITUTE(Catalogo!$F62," ","")&amp;",")),Catalogo!$H62&lt;&gt;"N"),"●","")</f>
        <v/>
      </c>
      <c r="F62" s="19">
        <f>IF(AND(ISNUMBER(SEARCH(","&amp;F$1&amp;",",","&amp;SUBSTITUTE(Catalogo!$F62," ","")&amp;",")),Catalogo!$H62&lt;&gt;"N"),"●","")</f>
        <v/>
      </c>
      <c r="G62" s="19">
        <f>IF(AND(ISNUMBER(SEARCH(","&amp;G$1&amp;",",","&amp;SUBSTITUTE(Catalogo!$F62," ","")&amp;",")),Catalogo!$H62&lt;&gt;"N"),"●","")</f>
        <v/>
      </c>
      <c r="H62" s="19">
        <f>IF(AND(ISNUMBER(SEARCH(","&amp;H$1&amp;",",","&amp;SUBSTITUTE(Catalogo!$F62," ","")&amp;",")),Catalogo!$H62&lt;&gt;"N"),"●","")</f>
        <v/>
      </c>
      <c r="I62" s="19">
        <f>IF(AND(ISNUMBER(SEARCH(","&amp;I$1&amp;",",","&amp;SUBSTITUTE(Catalogo!$F62," ","")&amp;",")),Catalogo!$H62&lt;&gt;"N"),"●","")</f>
        <v/>
      </c>
      <c r="J62" s="19">
        <f>IF(AND(ISNUMBER(SEARCH(","&amp;J$1&amp;",",","&amp;SUBSTITUTE(Catalogo!$F62," ","")&amp;",")),Catalogo!$H62&lt;&gt;"N"),"●","")</f>
        <v/>
      </c>
      <c r="K62" s="19">
        <f>IF(AND(ISNUMBER(SEARCH(","&amp;K$1&amp;",",","&amp;SUBSTITUTE(Catalogo!$F62," ","")&amp;",")),Catalogo!$H62&lt;&gt;"N"),"●","")</f>
        <v/>
      </c>
      <c r="L62" s="19">
        <f>IF(AND(ISNUMBER(SEARCH(","&amp;L$1&amp;",",","&amp;SUBSTITUTE(Catalogo!$F62," ","")&amp;",")),Catalogo!$H62&lt;&gt;"N"),"●","")</f>
        <v/>
      </c>
      <c r="M62" s="19">
        <f>IF(AND(ISNUMBER(SEARCH(","&amp;M$1&amp;",",","&amp;SUBSTITUTE(Catalogo!$F62," ","")&amp;",")),Catalogo!$H62&lt;&gt;"N"),"●","")</f>
        <v/>
      </c>
    </row>
    <row r="63">
      <c r="A63" s="17">
        <f>Catalogo!A63</f>
        <v/>
      </c>
      <c r="B63" s="17">
        <f>Catalogo!C63</f>
        <v/>
      </c>
      <c r="C63" s="19">
        <f>IF(Catalogo!H63="","(vazio)",Catalogo!H63)</f>
        <v/>
      </c>
      <c r="D63" s="19">
        <f>IF(AND(ISNUMBER(SEARCH(","&amp;D$1&amp;",",","&amp;SUBSTITUTE(Catalogo!$F63," ","")&amp;",")),Catalogo!$H63&lt;&gt;"N"),"●","")</f>
        <v/>
      </c>
      <c r="E63" s="19">
        <f>IF(AND(ISNUMBER(SEARCH(","&amp;E$1&amp;",",","&amp;SUBSTITUTE(Catalogo!$F63," ","")&amp;",")),Catalogo!$H63&lt;&gt;"N"),"●","")</f>
        <v/>
      </c>
      <c r="F63" s="19">
        <f>IF(AND(ISNUMBER(SEARCH(","&amp;F$1&amp;",",","&amp;SUBSTITUTE(Catalogo!$F63," ","")&amp;",")),Catalogo!$H63&lt;&gt;"N"),"●","")</f>
        <v/>
      </c>
      <c r="G63" s="19">
        <f>IF(AND(ISNUMBER(SEARCH(","&amp;G$1&amp;",",","&amp;SUBSTITUTE(Catalogo!$F63," ","")&amp;",")),Catalogo!$H63&lt;&gt;"N"),"●","")</f>
        <v/>
      </c>
      <c r="H63" s="19">
        <f>IF(AND(ISNUMBER(SEARCH(","&amp;H$1&amp;",",","&amp;SUBSTITUTE(Catalogo!$F63," ","")&amp;",")),Catalogo!$H63&lt;&gt;"N"),"●","")</f>
        <v/>
      </c>
      <c r="I63" s="19">
        <f>IF(AND(ISNUMBER(SEARCH(","&amp;I$1&amp;",",","&amp;SUBSTITUTE(Catalogo!$F63," ","")&amp;",")),Catalogo!$H63&lt;&gt;"N"),"●","")</f>
        <v/>
      </c>
      <c r="J63" s="19">
        <f>IF(AND(ISNUMBER(SEARCH(","&amp;J$1&amp;",",","&amp;SUBSTITUTE(Catalogo!$F63," ","")&amp;",")),Catalogo!$H63&lt;&gt;"N"),"●","")</f>
        <v/>
      </c>
      <c r="K63" s="19">
        <f>IF(AND(ISNUMBER(SEARCH(","&amp;K$1&amp;",",","&amp;SUBSTITUTE(Catalogo!$F63," ","")&amp;",")),Catalogo!$H63&lt;&gt;"N"),"●","")</f>
        <v/>
      </c>
      <c r="L63" s="19">
        <f>IF(AND(ISNUMBER(SEARCH(","&amp;L$1&amp;",",","&amp;SUBSTITUTE(Catalogo!$F63," ","")&amp;",")),Catalogo!$H63&lt;&gt;"N"),"●","")</f>
        <v/>
      </c>
      <c r="M63" s="19">
        <f>IF(AND(ISNUMBER(SEARCH(","&amp;M$1&amp;",",","&amp;SUBSTITUTE(Catalogo!$F63," ","")&amp;",")),Catalogo!$H63&lt;&gt;"N"),"●","")</f>
        <v/>
      </c>
    </row>
    <row r="64">
      <c r="A64" s="17">
        <f>Catalogo!A64</f>
        <v/>
      </c>
      <c r="B64" s="17">
        <f>Catalogo!C64</f>
        <v/>
      </c>
      <c r="C64" s="19">
        <f>IF(Catalogo!H64="","(vazio)",Catalogo!H64)</f>
        <v/>
      </c>
      <c r="D64" s="19">
        <f>IF(AND(ISNUMBER(SEARCH(","&amp;D$1&amp;",",","&amp;SUBSTITUTE(Catalogo!$F64," ","")&amp;",")),Catalogo!$H64&lt;&gt;"N"),"●","")</f>
        <v/>
      </c>
      <c r="E64" s="19">
        <f>IF(AND(ISNUMBER(SEARCH(","&amp;E$1&amp;",",","&amp;SUBSTITUTE(Catalogo!$F64," ","")&amp;",")),Catalogo!$H64&lt;&gt;"N"),"●","")</f>
        <v/>
      </c>
      <c r="F64" s="19">
        <f>IF(AND(ISNUMBER(SEARCH(","&amp;F$1&amp;",",","&amp;SUBSTITUTE(Catalogo!$F64," ","")&amp;",")),Catalogo!$H64&lt;&gt;"N"),"●","")</f>
        <v/>
      </c>
      <c r="G64" s="19">
        <f>IF(AND(ISNUMBER(SEARCH(","&amp;G$1&amp;",",","&amp;SUBSTITUTE(Catalogo!$F64," ","")&amp;",")),Catalogo!$H64&lt;&gt;"N"),"●","")</f>
        <v/>
      </c>
      <c r="H64" s="19">
        <f>IF(AND(ISNUMBER(SEARCH(","&amp;H$1&amp;",",","&amp;SUBSTITUTE(Catalogo!$F64," ","")&amp;",")),Catalogo!$H64&lt;&gt;"N"),"●","")</f>
        <v/>
      </c>
      <c r="I64" s="19">
        <f>IF(AND(ISNUMBER(SEARCH(","&amp;I$1&amp;",",","&amp;SUBSTITUTE(Catalogo!$F64," ","")&amp;",")),Catalogo!$H64&lt;&gt;"N"),"●","")</f>
        <v/>
      </c>
      <c r="J64" s="19">
        <f>IF(AND(ISNUMBER(SEARCH(","&amp;J$1&amp;",",","&amp;SUBSTITUTE(Catalogo!$F64," ","")&amp;",")),Catalogo!$H64&lt;&gt;"N"),"●","")</f>
        <v/>
      </c>
      <c r="K64" s="19">
        <f>IF(AND(ISNUMBER(SEARCH(","&amp;K$1&amp;",",","&amp;SUBSTITUTE(Catalogo!$F64," ","")&amp;",")),Catalogo!$H64&lt;&gt;"N"),"●","")</f>
        <v/>
      </c>
      <c r="L64" s="19">
        <f>IF(AND(ISNUMBER(SEARCH(","&amp;L$1&amp;",",","&amp;SUBSTITUTE(Catalogo!$F64," ","")&amp;",")),Catalogo!$H64&lt;&gt;"N"),"●","")</f>
        <v/>
      </c>
      <c r="M64" s="19">
        <f>IF(AND(ISNUMBER(SEARCH(","&amp;M$1&amp;",",","&amp;SUBSTITUTE(Catalogo!$F64," ","")&amp;",")),Catalogo!$H64&lt;&gt;"N"),"●","")</f>
        <v/>
      </c>
    </row>
    <row r="65">
      <c r="A65" s="17">
        <f>Catalogo!A65</f>
        <v/>
      </c>
      <c r="B65" s="17">
        <f>Catalogo!C65</f>
        <v/>
      </c>
      <c r="C65" s="19">
        <f>IF(Catalogo!H65="","(vazio)",Catalogo!H65)</f>
        <v/>
      </c>
      <c r="D65" s="19">
        <f>IF(AND(ISNUMBER(SEARCH(","&amp;D$1&amp;",",","&amp;SUBSTITUTE(Catalogo!$F65," ","")&amp;",")),Catalogo!$H65&lt;&gt;"N"),"●","")</f>
        <v/>
      </c>
      <c r="E65" s="19">
        <f>IF(AND(ISNUMBER(SEARCH(","&amp;E$1&amp;",",","&amp;SUBSTITUTE(Catalogo!$F65," ","")&amp;",")),Catalogo!$H65&lt;&gt;"N"),"●","")</f>
        <v/>
      </c>
      <c r="F65" s="19">
        <f>IF(AND(ISNUMBER(SEARCH(","&amp;F$1&amp;",",","&amp;SUBSTITUTE(Catalogo!$F65," ","")&amp;",")),Catalogo!$H65&lt;&gt;"N"),"●","")</f>
        <v/>
      </c>
      <c r="G65" s="19">
        <f>IF(AND(ISNUMBER(SEARCH(","&amp;G$1&amp;",",","&amp;SUBSTITUTE(Catalogo!$F65," ","")&amp;",")),Catalogo!$H65&lt;&gt;"N"),"●","")</f>
        <v/>
      </c>
      <c r="H65" s="19">
        <f>IF(AND(ISNUMBER(SEARCH(","&amp;H$1&amp;",",","&amp;SUBSTITUTE(Catalogo!$F65," ","")&amp;",")),Catalogo!$H65&lt;&gt;"N"),"●","")</f>
        <v/>
      </c>
      <c r="I65" s="19">
        <f>IF(AND(ISNUMBER(SEARCH(","&amp;I$1&amp;",",","&amp;SUBSTITUTE(Catalogo!$F65," ","")&amp;",")),Catalogo!$H65&lt;&gt;"N"),"●","")</f>
        <v/>
      </c>
      <c r="J65" s="19">
        <f>IF(AND(ISNUMBER(SEARCH(","&amp;J$1&amp;",",","&amp;SUBSTITUTE(Catalogo!$F65," ","")&amp;",")),Catalogo!$H65&lt;&gt;"N"),"●","")</f>
        <v/>
      </c>
      <c r="K65" s="19">
        <f>IF(AND(ISNUMBER(SEARCH(","&amp;K$1&amp;",",","&amp;SUBSTITUTE(Catalogo!$F65," ","")&amp;",")),Catalogo!$H65&lt;&gt;"N"),"●","")</f>
        <v/>
      </c>
      <c r="L65" s="19">
        <f>IF(AND(ISNUMBER(SEARCH(","&amp;L$1&amp;",",","&amp;SUBSTITUTE(Catalogo!$F65," ","")&amp;",")),Catalogo!$H65&lt;&gt;"N"),"●","")</f>
        <v/>
      </c>
      <c r="M65" s="19">
        <f>IF(AND(ISNUMBER(SEARCH(","&amp;M$1&amp;",",","&amp;SUBSTITUTE(Catalogo!$F65," ","")&amp;",")),Catalogo!$H65&lt;&gt;"N"),"●","")</f>
        <v/>
      </c>
    </row>
    <row r="66">
      <c r="A66" s="17">
        <f>Catalogo!A66</f>
        <v/>
      </c>
      <c r="B66" s="17">
        <f>Catalogo!C66</f>
        <v/>
      </c>
      <c r="C66" s="19">
        <f>IF(Catalogo!H66="","(vazio)",Catalogo!H66)</f>
        <v/>
      </c>
      <c r="D66" s="19">
        <f>IF(AND(ISNUMBER(SEARCH(","&amp;D$1&amp;",",","&amp;SUBSTITUTE(Catalogo!$F66," ","")&amp;",")),Catalogo!$H66&lt;&gt;"N"),"●","")</f>
        <v/>
      </c>
      <c r="E66" s="19">
        <f>IF(AND(ISNUMBER(SEARCH(","&amp;E$1&amp;",",","&amp;SUBSTITUTE(Catalogo!$F66," ","")&amp;",")),Catalogo!$H66&lt;&gt;"N"),"●","")</f>
        <v/>
      </c>
      <c r="F66" s="19">
        <f>IF(AND(ISNUMBER(SEARCH(","&amp;F$1&amp;",",","&amp;SUBSTITUTE(Catalogo!$F66," ","")&amp;",")),Catalogo!$H66&lt;&gt;"N"),"●","")</f>
        <v/>
      </c>
      <c r="G66" s="19">
        <f>IF(AND(ISNUMBER(SEARCH(","&amp;G$1&amp;",",","&amp;SUBSTITUTE(Catalogo!$F66," ","")&amp;",")),Catalogo!$H66&lt;&gt;"N"),"●","")</f>
        <v/>
      </c>
      <c r="H66" s="19">
        <f>IF(AND(ISNUMBER(SEARCH(","&amp;H$1&amp;",",","&amp;SUBSTITUTE(Catalogo!$F66," ","")&amp;",")),Catalogo!$H66&lt;&gt;"N"),"●","")</f>
        <v/>
      </c>
      <c r="I66" s="19">
        <f>IF(AND(ISNUMBER(SEARCH(","&amp;I$1&amp;",",","&amp;SUBSTITUTE(Catalogo!$F66," ","")&amp;",")),Catalogo!$H66&lt;&gt;"N"),"●","")</f>
        <v/>
      </c>
      <c r="J66" s="19">
        <f>IF(AND(ISNUMBER(SEARCH(","&amp;J$1&amp;",",","&amp;SUBSTITUTE(Catalogo!$F66," ","")&amp;",")),Catalogo!$H66&lt;&gt;"N"),"●","")</f>
        <v/>
      </c>
      <c r="K66" s="19">
        <f>IF(AND(ISNUMBER(SEARCH(","&amp;K$1&amp;",",","&amp;SUBSTITUTE(Catalogo!$F66," ","")&amp;",")),Catalogo!$H66&lt;&gt;"N"),"●","")</f>
        <v/>
      </c>
      <c r="L66" s="19">
        <f>IF(AND(ISNUMBER(SEARCH(","&amp;L$1&amp;",",","&amp;SUBSTITUTE(Catalogo!$F66," ","")&amp;",")),Catalogo!$H66&lt;&gt;"N"),"●","")</f>
        <v/>
      </c>
      <c r="M66" s="19">
        <f>IF(AND(ISNUMBER(SEARCH(","&amp;M$1&amp;",",","&amp;SUBSTITUTE(Catalogo!$F66," ","")&amp;",")),Catalogo!$H66&lt;&gt;"N"),"●","")</f>
        <v/>
      </c>
    </row>
    <row r="67">
      <c r="A67" s="17">
        <f>Catalogo!A67</f>
        <v/>
      </c>
      <c r="B67" s="17">
        <f>Catalogo!C67</f>
        <v/>
      </c>
      <c r="C67" s="19">
        <f>IF(Catalogo!H67="","(vazio)",Catalogo!H67)</f>
        <v/>
      </c>
      <c r="D67" s="19">
        <f>IF(AND(ISNUMBER(SEARCH(","&amp;D$1&amp;",",","&amp;SUBSTITUTE(Catalogo!$F67," ","")&amp;",")),Catalogo!$H67&lt;&gt;"N"),"●","")</f>
        <v/>
      </c>
      <c r="E67" s="19">
        <f>IF(AND(ISNUMBER(SEARCH(","&amp;E$1&amp;",",","&amp;SUBSTITUTE(Catalogo!$F67," ","")&amp;",")),Catalogo!$H67&lt;&gt;"N"),"●","")</f>
        <v/>
      </c>
      <c r="F67" s="19">
        <f>IF(AND(ISNUMBER(SEARCH(","&amp;F$1&amp;",",","&amp;SUBSTITUTE(Catalogo!$F67," ","")&amp;",")),Catalogo!$H67&lt;&gt;"N"),"●","")</f>
        <v/>
      </c>
      <c r="G67" s="19">
        <f>IF(AND(ISNUMBER(SEARCH(","&amp;G$1&amp;",",","&amp;SUBSTITUTE(Catalogo!$F67," ","")&amp;",")),Catalogo!$H67&lt;&gt;"N"),"●","")</f>
        <v/>
      </c>
      <c r="H67" s="19">
        <f>IF(AND(ISNUMBER(SEARCH(","&amp;H$1&amp;",",","&amp;SUBSTITUTE(Catalogo!$F67," ","")&amp;",")),Catalogo!$H67&lt;&gt;"N"),"●","")</f>
        <v/>
      </c>
      <c r="I67" s="19">
        <f>IF(AND(ISNUMBER(SEARCH(","&amp;I$1&amp;",",","&amp;SUBSTITUTE(Catalogo!$F67," ","")&amp;",")),Catalogo!$H67&lt;&gt;"N"),"●","")</f>
        <v/>
      </c>
      <c r="J67" s="19">
        <f>IF(AND(ISNUMBER(SEARCH(","&amp;J$1&amp;",",","&amp;SUBSTITUTE(Catalogo!$F67," ","")&amp;",")),Catalogo!$H67&lt;&gt;"N"),"●","")</f>
        <v/>
      </c>
      <c r="K67" s="19">
        <f>IF(AND(ISNUMBER(SEARCH(","&amp;K$1&amp;",",","&amp;SUBSTITUTE(Catalogo!$F67," ","")&amp;",")),Catalogo!$H67&lt;&gt;"N"),"●","")</f>
        <v/>
      </c>
      <c r="L67" s="19">
        <f>IF(AND(ISNUMBER(SEARCH(","&amp;L$1&amp;",",","&amp;SUBSTITUTE(Catalogo!$F67," ","")&amp;",")),Catalogo!$H67&lt;&gt;"N"),"●","")</f>
        <v/>
      </c>
      <c r="M67" s="19">
        <f>IF(AND(ISNUMBER(SEARCH(","&amp;M$1&amp;",",","&amp;SUBSTITUTE(Catalogo!$F67," ","")&amp;",")),Catalogo!$H67&lt;&gt;"N"),"●","")</f>
        <v/>
      </c>
    </row>
    <row r="68">
      <c r="A68" s="17">
        <f>Catalogo!A68</f>
        <v/>
      </c>
      <c r="B68" s="17">
        <f>Catalogo!C68</f>
        <v/>
      </c>
      <c r="C68" s="19">
        <f>IF(Catalogo!H68="","(vazio)",Catalogo!H68)</f>
        <v/>
      </c>
      <c r="D68" s="19">
        <f>IF(AND(ISNUMBER(SEARCH(","&amp;D$1&amp;",",","&amp;SUBSTITUTE(Catalogo!$F68," ","")&amp;",")),Catalogo!$H68&lt;&gt;"N"),"●","")</f>
        <v/>
      </c>
      <c r="E68" s="19">
        <f>IF(AND(ISNUMBER(SEARCH(","&amp;E$1&amp;",",","&amp;SUBSTITUTE(Catalogo!$F68," ","")&amp;",")),Catalogo!$H68&lt;&gt;"N"),"●","")</f>
        <v/>
      </c>
      <c r="F68" s="19">
        <f>IF(AND(ISNUMBER(SEARCH(","&amp;F$1&amp;",",","&amp;SUBSTITUTE(Catalogo!$F68," ","")&amp;",")),Catalogo!$H68&lt;&gt;"N"),"●","")</f>
        <v/>
      </c>
      <c r="G68" s="19">
        <f>IF(AND(ISNUMBER(SEARCH(","&amp;G$1&amp;",",","&amp;SUBSTITUTE(Catalogo!$F68," ","")&amp;",")),Catalogo!$H68&lt;&gt;"N"),"●","")</f>
        <v/>
      </c>
      <c r="H68" s="19">
        <f>IF(AND(ISNUMBER(SEARCH(","&amp;H$1&amp;",",","&amp;SUBSTITUTE(Catalogo!$F68," ","")&amp;",")),Catalogo!$H68&lt;&gt;"N"),"●","")</f>
        <v/>
      </c>
      <c r="I68" s="19">
        <f>IF(AND(ISNUMBER(SEARCH(","&amp;I$1&amp;",",","&amp;SUBSTITUTE(Catalogo!$F68," ","")&amp;",")),Catalogo!$H68&lt;&gt;"N"),"●","")</f>
        <v/>
      </c>
      <c r="J68" s="19">
        <f>IF(AND(ISNUMBER(SEARCH(","&amp;J$1&amp;",",","&amp;SUBSTITUTE(Catalogo!$F68," ","")&amp;",")),Catalogo!$H68&lt;&gt;"N"),"●","")</f>
        <v/>
      </c>
      <c r="K68" s="19">
        <f>IF(AND(ISNUMBER(SEARCH(","&amp;K$1&amp;",",","&amp;SUBSTITUTE(Catalogo!$F68," ","")&amp;",")),Catalogo!$H68&lt;&gt;"N"),"●","")</f>
        <v/>
      </c>
      <c r="L68" s="19">
        <f>IF(AND(ISNUMBER(SEARCH(","&amp;L$1&amp;",",","&amp;SUBSTITUTE(Catalogo!$F68," ","")&amp;",")),Catalogo!$H68&lt;&gt;"N"),"●","")</f>
        <v/>
      </c>
      <c r="M68" s="19">
        <f>IF(AND(ISNUMBER(SEARCH(","&amp;M$1&amp;",",","&amp;SUBSTITUTE(Catalogo!$F68," ","")&amp;",")),Catalogo!$H68&lt;&gt;"N"),"●","")</f>
        <v/>
      </c>
    </row>
    <row r="69">
      <c r="A69" s="17">
        <f>Catalogo!A69</f>
        <v/>
      </c>
      <c r="B69" s="17">
        <f>Catalogo!C69</f>
        <v/>
      </c>
      <c r="C69" s="19">
        <f>IF(Catalogo!H69="","(vazio)",Catalogo!H69)</f>
        <v/>
      </c>
      <c r="D69" s="19">
        <f>IF(AND(ISNUMBER(SEARCH(","&amp;D$1&amp;",",","&amp;SUBSTITUTE(Catalogo!$F69," ","")&amp;",")),Catalogo!$H69&lt;&gt;"N"),"●","")</f>
        <v/>
      </c>
      <c r="E69" s="19">
        <f>IF(AND(ISNUMBER(SEARCH(","&amp;E$1&amp;",",","&amp;SUBSTITUTE(Catalogo!$F69," ","")&amp;",")),Catalogo!$H69&lt;&gt;"N"),"●","")</f>
        <v/>
      </c>
      <c r="F69" s="19">
        <f>IF(AND(ISNUMBER(SEARCH(","&amp;F$1&amp;",",","&amp;SUBSTITUTE(Catalogo!$F69," ","")&amp;",")),Catalogo!$H69&lt;&gt;"N"),"●","")</f>
        <v/>
      </c>
      <c r="G69" s="19">
        <f>IF(AND(ISNUMBER(SEARCH(","&amp;G$1&amp;",",","&amp;SUBSTITUTE(Catalogo!$F69," ","")&amp;",")),Catalogo!$H69&lt;&gt;"N"),"●","")</f>
        <v/>
      </c>
      <c r="H69" s="19">
        <f>IF(AND(ISNUMBER(SEARCH(","&amp;H$1&amp;",",","&amp;SUBSTITUTE(Catalogo!$F69," ","")&amp;",")),Catalogo!$H69&lt;&gt;"N"),"●","")</f>
        <v/>
      </c>
      <c r="I69" s="19">
        <f>IF(AND(ISNUMBER(SEARCH(","&amp;I$1&amp;",",","&amp;SUBSTITUTE(Catalogo!$F69," ","")&amp;",")),Catalogo!$H69&lt;&gt;"N"),"●","")</f>
        <v/>
      </c>
      <c r="J69" s="19">
        <f>IF(AND(ISNUMBER(SEARCH(","&amp;J$1&amp;",",","&amp;SUBSTITUTE(Catalogo!$F69," ","")&amp;",")),Catalogo!$H69&lt;&gt;"N"),"●","")</f>
        <v/>
      </c>
      <c r="K69" s="19">
        <f>IF(AND(ISNUMBER(SEARCH(","&amp;K$1&amp;",",","&amp;SUBSTITUTE(Catalogo!$F69," ","")&amp;",")),Catalogo!$H69&lt;&gt;"N"),"●","")</f>
        <v/>
      </c>
      <c r="L69" s="19">
        <f>IF(AND(ISNUMBER(SEARCH(","&amp;L$1&amp;",",","&amp;SUBSTITUTE(Catalogo!$F69," ","")&amp;",")),Catalogo!$H69&lt;&gt;"N"),"●","")</f>
        <v/>
      </c>
      <c r="M69" s="19">
        <f>IF(AND(ISNUMBER(SEARCH(","&amp;M$1&amp;",",","&amp;SUBSTITUTE(Catalogo!$F69," ","")&amp;",")),Catalogo!$H69&lt;&gt;"N"),"●","")</f>
        <v/>
      </c>
    </row>
    <row r="70">
      <c r="A70" s="17">
        <f>Catalogo!A70</f>
        <v/>
      </c>
      <c r="B70" s="17">
        <f>Catalogo!C70</f>
        <v/>
      </c>
      <c r="C70" s="19">
        <f>IF(Catalogo!H70="","(vazio)",Catalogo!H70)</f>
        <v/>
      </c>
      <c r="D70" s="19">
        <f>IF(AND(ISNUMBER(SEARCH(","&amp;D$1&amp;",",","&amp;SUBSTITUTE(Catalogo!$F70," ","")&amp;",")),Catalogo!$H70&lt;&gt;"N"),"●","")</f>
        <v/>
      </c>
      <c r="E70" s="19">
        <f>IF(AND(ISNUMBER(SEARCH(","&amp;E$1&amp;",",","&amp;SUBSTITUTE(Catalogo!$F70," ","")&amp;",")),Catalogo!$H70&lt;&gt;"N"),"●","")</f>
        <v/>
      </c>
      <c r="F70" s="19">
        <f>IF(AND(ISNUMBER(SEARCH(","&amp;F$1&amp;",",","&amp;SUBSTITUTE(Catalogo!$F70," ","")&amp;",")),Catalogo!$H70&lt;&gt;"N"),"●","")</f>
        <v/>
      </c>
      <c r="G70" s="19">
        <f>IF(AND(ISNUMBER(SEARCH(","&amp;G$1&amp;",",","&amp;SUBSTITUTE(Catalogo!$F70," ","")&amp;",")),Catalogo!$H70&lt;&gt;"N"),"●","")</f>
        <v/>
      </c>
      <c r="H70" s="19">
        <f>IF(AND(ISNUMBER(SEARCH(","&amp;H$1&amp;",",","&amp;SUBSTITUTE(Catalogo!$F70," ","")&amp;",")),Catalogo!$H70&lt;&gt;"N"),"●","")</f>
        <v/>
      </c>
      <c r="I70" s="19">
        <f>IF(AND(ISNUMBER(SEARCH(","&amp;I$1&amp;",",","&amp;SUBSTITUTE(Catalogo!$F70," ","")&amp;",")),Catalogo!$H70&lt;&gt;"N"),"●","")</f>
        <v/>
      </c>
      <c r="J70" s="19">
        <f>IF(AND(ISNUMBER(SEARCH(","&amp;J$1&amp;",",","&amp;SUBSTITUTE(Catalogo!$F70," ","")&amp;",")),Catalogo!$H70&lt;&gt;"N"),"●","")</f>
        <v/>
      </c>
      <c r="K70" s="19">
        <f>IF(AND(ISNUMBER(SEARCH(","&amp;K$1&amp;",",","&amp;SUBSTITUTE(Catalogo!$F70," ","")&amp;",")),Catalogo!$H70&lt;&gt;"N"),"●","")</f>
        <v/>
      </c>
      <c r="L70" s="19">
        <f>IF(AND(ISNUMBER(SEARCH(","&amp;L$1&amp;",",","&amp;SUBSTITUTE(Catalogo!$F70," ","")&amp;",")),Catalogo!$H70&lt;&gt;"N"),"●","")</f>
        <v/>
      </c>
      <c r="M70" s="19">
        <f>IF(AND(ISNUMBER(SEARCH(","&amp;M$1&amp;",",","&amp;SUBSTITUTE(Catalogo!$F70," ","")&amp;",")),Catalogo!$H70&lt;&gt;"N"),"●","")</f>
        <v/>
      </c>
    </row>
    <row r="71">
      <c r="A71" s="17">
        <f>Catalogo!A71</f>
        <v/>
      </c>
      <c r="B71" s="17">
        <f>Catalogo!C71</f>
        <v/>
      </c>
      <c r="C71" s="19">
        <f>IF(Catalogo!H71="","(vazio)",Catalogo!H71)</f>
        <v/>
      </c>
      <c r="D71" s="19">
        <f>IF(AND(ISNUMBER(SEARCH(","&amp;D$1&amp;",",","&amp;SUBSTITUTE(Catalogo!$F71," ","")&amp;",")),Catalogo!$H71&lt;&gt;"N"),"●","")</f>
        <v/>
      </c>
      <c r="E71" s="19">
        <f>IF(AND(ISNUMBER(SEARCH(","&amp;E$1&amp;",",","&amp;SUBSTITUTE(Catalogo!$F71," ","")&amp;",")),Catalogo!$H71&lt;&gt;"N"),"●","")</f>
        <v/>
      </c>
      <c r="F71" s="19">
        <f>IF(AND(ISNUMBER(SEARCH(","&amp;F$1&amp;",",","&amp;SUBSTITUTE(Catalogo!$F71," ","")&amp;",")),Catalogo!$H71&lt;&gt;"N"),"●","")</f>
        <v/>
      </c>
      <c r="G71" s="19">
        <f>IF(AND(ISNUMBER(SEARCH(","&amp;G$1&amp;",",","&amp;SUBSTITUTE(Catalogo!$F71," ","")&amp;",")),Catalogo!$H71&lt;&gt;"N"),"●","")</f>
        <v/>
      </c>
      <c r="H71" s="19">
        <f>IF(AND(ISNUMBER(SEARCH(","&amp;H$1&amp;",",","&amp;SUBSTITUTE(Catalogo!$F71," ","")&amp;",")),Catalogo!$H71&lt;&gt;"N"),"●","")</f>
        <v/>
      </c>
      <c r="I71" s="19">
        <f>IF(AND(ISNUMBER(SEARCH(","&amp;I$1&amp;",",","&amp;SUBSTITUTE(Catalogo!$F71," ","")&amp;",")),Catalogo!$H71&lt;&gt;"N"),"●","")</f>
        <v/>
      </c>
      <c r="J71" s="19">
        <f>IF(AND(ISNUMBER(SEARCH(","&amp;J$1&amp;",",","&amp;SUBSTITUTE(Catalogo!$F71," ","")&amp;",")),Catalogo!$H71&lt;&gt;"N"),"●","")</f>
        <v/>
      </c>
      <c r="K71" s="19">
        <f>IF(AND(ISNUMBER(SEARCH(","&amp;K$1&amp;",",","&amp;SUBSTITUTE(Catalogo!$F71," ","")&amp;",")),Catalogo!$H71&lt;&gt;"N"),"●","")</f>
        <v/>
      </c>
      <c r="L71" s="19">
        <f>IF(AND(ISNUMBER(SEARCH(","&amp;L$1&amp;",",","&amp;SUBSTITUTE(Catalogo!$F71," ","")&amp;",")),Catalogo!$H71&lt;&gt;"N"),"●","")</f>
        <v/>
      </c>
      <c r="M71" s="19">
        <f>IF(AND(ISNUMBER(SEARCH(","&amp;M$1&amp;",",","&amp;SUBSTITUTE(Catalogo!$F71," ","")&amp;",")),Catalogo!$H71&lt;&gt;"N"),"●","")</f>
        <v/>
      </c>
    </row>
    <row r="72">
      <c r="A72" s="17">
        <f>Catalogo!A72</f>
        <v/>
      </c>
      <c r="B72" s="17">
        <f>Catalogo!C72</f>
        <v/>
      </c>
      <c r="C72" s="19">
        <f>IF(Catalogo!H72="","(vazio)",Catalogo!H72)</f>
        <v/>
      </c>
      <c r="D72" s="19">
        <f>IF(AND(ISNUMBER(SEARCH(","&amp;D$1&amp;",",","&amp;SUBSTITUTE(Catalogo!$F72," ","")&amp;",")),Catalogo!$H72&lt;&gt;"N"),"●","")</f>
        <v/>
      </c>
      <c r="E72" s="19">
        <f>IF(AND(ISNUMBER(SEARCH(","&amp;E$1&amp;",",","&amp;SUBSTITUTE(Catalogo!$F72," ","")&amp;",")),Catalogo!$H72&lt;&gt;"N"),"●","")</f>
        <v/>
      </c>
      <c r="F72" s="19">
        <f>IF(AND(ISNUMBER(SEARCH(","&amp;F$1&amp;",",","&amp;SUBSTITUTE(Catalogo!$F72," ","")&amp;",")),Catalogo!$H72&lt;&gt;"N"),"●","")</f>
        <v/>
      </c>
      <c r="G72" s="19">
        <f>IF(AND(ISNUMBER(SEARCH(","&amp;G$1&amp;",",","&amp;SUBSTITUTE(Catalogo!$F72," ","")&amp;",")),Catalogo!$H72&lt;&gt;"N"),"●","")</f>
        <v/>
      </c>
      <c r="H72" s="19">
        <f>IF(AND(ISNUMBER(SEARCH(","&amp;H$1&amp;",",","&amp;SUBSTITUTE(Catalogo!$F72," ","")&amp;",")),Catalogo!$H72&lt;&gt;"N"),"●","")</f>
        <v/>
      </c>
      <c r="I72" s="19">
        <f>IF(AND(ISNUMBER(SEARCH(","&amp;I$1&amp;",",","&amp;SUBSTITUTE(Catalogo!$F72," ","")&amp;",")),Catalogo!$H72&lt;&gt;"N"),"●","")</f>
        <v/>
      </c>
      <c r="J72" s="19">
        <f>IF(AND(ISNUMBER(SEARCH(","&amp;J$1&amp;",",","&amp;SUBSTITUTE(Catalogo!$F72," ","")&amp;",")),Catalogo!$H72&lt;&gt;"N"),"●","")</f>
        <v/>
      </c>
      <c r="K72" s="19">
        <f>IF(AND(ISNUMBER(SEARCH(","&amp;K$1&amp;",",","&amp;SUBSTITUTE(Catalogo!$F72," ","")&amp;",")),Catalogo!$H72&lt;&gt;"N"),"●","")</f>
        <v/>
      </c>
      <c r="L72" s="19">
        <f>IF(AND(ISNUMBER(SEARCH(","&amp;L$1&amp;",",","&amp;SUBSTITUTE(Catalogo!$F72," ","")&amp;",")),Catalogo!$H72&lt;&gt;"N"),"●","")</f>
        <v/>
      </c>
      <c r="M72" s="19">
        <f>IF(AND(ISNUMBER(SEARCH(","&amp;M$1&amp;",",","&amp;SUBSTITUTE(Catalogo!$F72," ","")&amp;",")),Catalogo!$H72&lt;&gt;"N"),"●","")</f>
        <v/>
      </c>
    </row>
    <row r="73">
      <c r="A73" s="17">
        <f>Catalogo!A73</f>
        <v/>
      </c>
      <c r="B73" s="17">
        <f>Catalogo!C73</f>
        <v/>
      </c>
      <c r="C73" s="19">
        <f>IF(Catalogo!H73="","(vazio)",Catalogo!H73)</f>
        <v/>
      </c>
      <c r="D73" s="19">
        <f>IF(AND(ISNUMBER(SEARCH(","&amp;D$1&amp;",",","&amp;SUBSTITUTE(Catalogo!$F73," ","")&amp;",")),Catalogo!$H73&lt;&gt;"N"),"●","")</f>
        <v/>
      </c>
      <c r="E73" s="19">
        <f>IF(AND(ISNUMBER(SEARCH(","&amp;E$1&amp;",",","&amp;SUBSTITUTE(Catalogo!$F73," ","")&amp;",")),Catalogo!$H73&lt;&gt;"N"),"●","")</f>
        <v/>
      </c>
      <c r="F73" s="19">
        <f>IF(AND(ISNUMBER(SEARCH(","&amp;F$1&amp;",",","&amp;SUBSTITUTE(Catalogo!$F73," ","")&amp;",")),Catalogo!$H73&lt;&gt;"N"),"●","")</f>
        <v/>
      </c>
      <c r="G73" s="19">
        <f>IF(AND(ISNUMBER(SEARCH(","&amp;G$1&amp;",",","&amp;SUBSTITUTE(Catalogo!$F73," ","")&amp;",")),Catalogo!$H73&lt;&gt;"N"),"●","")</f>
        <v/>
      </c>
      <c r="H73" s="19">
        <f>IF(AND(ISNUMBER(SEARCH(","&amp;H$1&amp;",",","&amp;SUBSTITUTE(Catalogo!$F73," ","")&amp;",")),Catalogo!$H73&lt;&gt;"N"),"●","")</f>
        <v/>
      </c>
      <c r="I73" s="19">
        <f>IF(AND(ISNUMBER(SEARCH(","&amp;I$1&amp;",",","&amp;SUBSTITUTE(Catalogo!$F73," ","")&amp;",")),Catalogo!$H73&lt;&gt;"N"),"●","")</f>
        <v/>
      </c>
      <c r="J73" s="19">
        <f>IF(AND(ISNUMBER(SEARCH(","&amp;J$1&amp;",",","&amp;SUBSTITUTE(Catalogo!$F73," ","")&amp;",")),Catalogo!$H73&lt;&gt;"N"),"●","")</f>
        <v/>
      </c>
      <c r="K73" s="19">
        <f>IF(AND(ISNUMBER(SEARCH(","&amp;K$1&amp;",",","&amp;SUBSTITUTE(Catalogo!$F73," ","")&amp;",")),Catalogo!$H73&lt;&gt;"N"),"●","")</f>
        <v/>
      </c>
      <c r="L73" s="19">
        <f>IF(AND(ISNUMBER(SEARCH(","&amp;L$1&amp;",",","&amp;SUBSTITUTE(Catalogo!$F73," ","")&amp;",")),Catalogo!$H73&lt;&gt;"N"),"●","")</f>
        <v/>
      </c>
      <c r="M73" s="19">
        <f>IF(AND(ISNUMBER(SEARCH(","&amp;M$1&amp;",",","&amp;SUBSTITUTE(Catalogo!$F73," ","")&amp;",")),Catalogo!$H73&lt;&gt;"N"),"●","")</f>
        <v/>
      </c>
    </row>
    <row r="74">
      <c r="A74" s="17">
        <f>Catalogo!A74</f>
        <v/>
      </c>
      <c r="B74" s="17">
        <f>Catalogo!C74</f>
        <v/>
      </c>
      <c r="C74" s="19">
        <f>IF(Catalogo!H74="","(vazio)",Catalogo!H74)</f>
        <v/>
      </c>
      <c r="D74" s="19">
        <f>IF(AND(ISNUMBER(SEARCH(","&amp;D$1&amp;",",","&amp;SUBSTITUTE(Catalogo!$F74," ","")&amp;",")),Catalogo!$H74&lt;&gt;"N"),"●","")</f>
        <v/>
      </c>
      <c r="E74" s="19">
        <f>IF(AND(ISNUMBER(SEARCH(","&amp;E$1&amp;",",","&amp;SUBSTITUTE(Catalogo!$F74," ","")&amp;",")),Catalogo!$H74&lt;&gt;"N"),"●","")</f>
        <v/>
      </c>
      <c r="F74" s="19">
        <f>IF(AND(ISNUMBER(SEARCH(","&amp;F$1&amp;",",","&amp;SUBSTITUTE(Catalogo!$F74," ","")&amp;",")),Catalogo!$H74&lt;&gt;"N"),"●","")</f>
        <v/>
      </c>
      <c r="G74" s="19">
        <f>IF(AND(ISNUMBER(SEARCH(","&amp;G$1&amp;",",","&amp;SUBSTITUTE(Catalogo!$F74," ","")&amp;",")),Catalogo!$H74&lt;&gt;"N"),"●","")</f>
        <v/>
      </c>
      <c r="H74" s="19">
        <f>IF(AND(ISNUMBER(SEARCH(","&amp;H$1&amp;",",","&amp;SUBSTITUTE(Catalogo!$F74," ","")&amp;",")),Catalogo!$H74&lt;&gt;"N"),"●","")</f>
        <v/>
      </c>
      <c r="I74" s="19">
        <f>IF(AND(ISNUMBER(SEARCH(","&amp;I$1&amp;",",","&amp;SUBSTITUTE(Catalogo!$F74," ","")&amp;",")),Catalogo!$H74&lt;&gt;"N"),"●","")</f>
        <v/>
      </c>
      <c r="J74" s="19">
        <f>IF(AND(ISNUMBER(SEARCH(","&amp;J$1&amp;",",","&amp;SUBSTITUTE(Catalogo!$F74," ","")&amp;",")),Catalogo!$H74&lt;&gt;"N"),"●","")</f>
        <v/>
      </c>
      <c r="K74" s="19">
        <f>IF(AND(ISNUMBER(SEARCH(","&amp;K$1&amp;",",","&amp;SUBSTITUTE(Catalogo!$F74," ","")&amp;",")),Catalogo!$H74&lt;&gt;"N"),"●","")</f>
        <v/>
      </c>
      <c r="L74" s="19">
        <f>IF(AND(ISNUMBER(SEARCH(","&amp;L$1&amp;",",","&amp;SUBSTITUTE(Catalogo!$F74," ","")&amp;",")),Catalogo!$H74&lt;&gt;"N"),"●","")</f>
        <v/>
      </c>
      <c r="M74" s="19">
        <f>IF(AND(ISNUMBER(SEARCH(","&amp;M$1&amp;",",","&amp;SUBSTITUTE(Catalogo!$F74," ","")&amp;",")),Catalogo!$H74&lt;&gt;"N"),"●","")</f>
        <v/>
      </c>
    </row>
    <row r="75">
      <c r="A75" s="17">
        <f>Catalogo!A75</f>
        <v/>
      </c>
      <c r="B75" s="17">
        <f>Catalogo!C75</f>
        <v/>
      </c>
      <c r="C75" s="19">
        <f>IF(Catalogo!H75="","(vazio)",Catalogo!H75)</f>
        <v/>
      </c>
      <c r="D75" s="19">
        <f>IF(AND(ISNUMBER(SEARCH(","&amp;D$1&amp;",",","&amp;SUBSTITUTE(Catalogo!$F75," ","")&amp;",")),Catalogo!$H75&lt;&gt;"N"),"●","")</f>
        <v/>
      </c>
      <c r="E75" s="19">
        <f>IF(AND(ISNUMBER(SEARCH(","&amp;E$1&amp;",",","&amp;SUBSTITUTE(Catalogo!$F75," ","")&amp;",")),Catalogo!$H75&lt;&gt;"N"),"●","")</f>
        <v/>
      </c>
      <c r="F75" s="19">
        <f>IF(AND(ISNUMBER(SEARCH(","&amp;F$1&amp;",",","&amp;SUBSTITUTE(Catalogo!$F75," ","")&amp;",")),Catalogo!$H75&lt;&gt;"N"),"●","")</f>
        <v/>
      </c>
      <c r="G75" s="19">
        <f>IF(AND(ISNUMBER(SEARCH(","&amp;G$1&amp;",",","&amp;SUBSTITUTE(Catalogo!$F75," ","")&amp;",")),Catalogo!$H75&lt;&gt;"N"),"●","")</f>
        <v/>
      </c>
      <c r="H75" s="19">
        <f>IF(AND(ISNUMBER(SEARCH(","&amp;H$1&amp;",",","&amp;SUBSTITUTE(Catalogo!$F75," ","")&amp;",")),Catalogo!$H75&lt;&gt;"N"),"●","")</f>
        <v/>
      </c>
      <c r="I75" s="19">
        <f>IF(AND(ISNUMBER(SEARCH(","&amp;I$1&amp;",",","&amp;SUBSTITUTE(Catalogo!$F75," ","")&amp;",")),Catalogo!$H75&lt;&gt;"N"),"●","")</f>
        <v/>
      </c>
      <c r="J75" s="19">
        <f>IF(AND(ISNUMBER(SEARCH(","&amp;J$1&amp;",",","&amp;SUBSTITUTE(Catalogo!$F75," ","")&amp;",")),Catalogo!$H75&lt;&gt;"N"),"●","")</f>
        <v/>
      </c>
      <c r="K75" s="19">
        <f>IF(AND(ISNUMBER(SEARCH(","&amp;K$1&amp;",",","&amp;SUBSTITUTE(Catalogo!$F75," ","")&amp;",")),Catalogo!$H75&lt;&gt;"N"),"●","")</f>
        <v/>
      </c>
      <c r="L75" s="19">
        <f>IF(AND(ISNUMBER(SEARCH(","&amp;L$1&amp;",",","&amp;SUBSTITUTE(Catalogo!$F75," ","")&amp;",")),Catalogo!$H75&lt;&gt;"N"),"●","")</f>
        <v/>
      </c>
      <c r="M75" s="19">
        <f>IF(AND(ISNUMBER(SEARCH(","&amp;M$1&amp;",",","&amp;SUBSTITUTE(Catalogo!$F75," ","")&amp;",")),Catalogo!$H75&lt;&gt;"N"),"●","")</f>
        <v/>
      </c>
    </row>
    <row r="76">
      <c r="A76" s="17">
        <f>Catalogo!A76</f>
        <v/>
      </c>
      <c r="B76" s="17">
        <f>Catalogo!C76</f>
        <v/>
      </c>
      <c r="C76" s="19">
        <f>IF(Catalogo!H76="","(vazio)",Catalogo!H76)</f>
        <v/>
      </c>
      <c r="D76" s="19">
        <f>IF(AND(ISNUMBER(SEARCH(","&amp;D$1&amp;",",","&amp;SUBSTITUTE(Catalogo!$F76," ","")&amp;",")),Catalogo!$H76&lt;&gt;"N"),"●","")</f>
        <v/>
      </c>
      <c r="E76" s="19">
        <f>IF(AND(ISNUMBER(SEARCH(","&amp;E$1&amp;",",","&amp;SUBSTITUTE(Catalogo!$F76," ","")&amp;",")),Catalogo!$H76&lt;&gt;"N"),"●","")</f>
        <v/>
      </c>
      <c r="F76" s="19">
        <f>IF(AND(ISNUMBER(SEARCH(","&amp;F$1&amp;",",","&amp;SUBSTITUTE(Catalogo!$F76," ","")&amp;",")),Catalogo!$H76&lt;&gt;"N"),"●","")</f>
        <v/>
      </c>
      <c r="G76" s="19">
        <f>IF(AND(ISNUMBER(SEARCH(","&amp;G$1&amp;",",","&amp;SUBSTITUTE(Catalogo!$F76," ","")&amp;",")),Catalogo!$H76&lt;&gt;"N"),"●","")</f>
        <v/>
      </c>
      <c r="H76" s="19">
        <f>IF(AND(ISNUMBER(SEARCH(","&amp;H$1&amp;",",","&amp;SUBSTITUTE(Catalogo!$F76," ","")&amp;",")),Catalogo!$H76&lt;&gt;"N"),"●","")</f>
        <v/>
      </c>
      <c r="I76" s="19">
        <f>IF(AND(ISNUMBER(SEARCH(","&amp;I$1&amp;",",","&amp;SUBSTITUTE(Catalogo!$F76," ","")&amp;",")),Catalogo!$H76&lt;&gt;"N"),"●","")</f>
        <v/>
      </c>
      <c r="J76" s="19">
        <f>IF(AND(ISNUMBER(SEARCH(","&amp;J$1&amp;",",","&amp;SUBSTITUTE(Catalogo!$F76," ","")&amp;",")),Catalogo!$H76&lt;&gt;"N"),"●","")</f>
        <v/>
      </c>
      <c r="K76" s="19">
        <f>IF(AND(ISNUMBER(SEARCH(","&amp;K$1&amp;",",","&amp;SUBSTITUTE(Catalogo!$F76," ","")&amp;",")),Catalogo!$H76&lt;&gt;"N"),"●","")</f>
        <v/>
      </c>
      <c r="L76" s="19">
        <f>IF(AND(ISNUMBER(SEARCH(","&amp;L$1&amp;",",","&amp;SUBSTITUTE(Catalogo!$F76," ","")&amp;",")),Catalogo!$H76&lt;&gt;"N"),"●","")</f>
        <v/>
      </c>
      <c r="M76" s="19">
        <f>IF(AND(ISNUMBER(SEARCH(","&amp;M$1&amp;",",","&amp;SUBSTITUTE(Catalogo!$F76," ","")&amp;",")),Catalogo!$H76&lt;&gt;"N"),"●","")</f>
        <v/>
      </c>
    </row>
    <row r="77">
      <c r="A77" s="17">
        <f>Catalogo!A77</f>
        <v/>
      </c>
      <c r="B77" s="17">
        <f>Catalogo!C77</f>
        <v/>
      </c>
      <c r="C77" s="19">
        <f>IF(Catalogo!H77="","(vazio)",Catalogo!H77)</f>
        <v/>
      </c>
      <c r="D77" s="19">
        <f>IF(AND(ISNUMBER(SEARCH(","&amp;D$1&amp;",",","&amp;SUBSTITUTE(Catalogo!$F77," ","")&amp;",")),Catalogo!$H77&lt;&gt;"N"),"●","")</f>
        <v/>
      </c>
      <c r="E77" s="19">
        <f>IF(AND(ISNUMBER(SEARCH(","&amp;E$1&amp;",",","&amp;SUBSTITUTE(Catalogo!$F77," ","")&amp;",")),Catalogo!$H77&lt;&gt;"N"),"●","")</f>
        <v/>
      </c>
      <c r="F77" s="19">
        <f>IF(AND(ISNUMBER(SEARCH(","&amp;F$1&amp;",",","&amp;SUBSTITUTE(Catalogo!$F77," ","")&amp;",")),Catalogo!$H77&lt;&gt;"N"),"●","")</f>
        <v/>
      </c>
      <c r="G77" s="19">
        <f>IF(AND(ISNUMBER(SEARCH(","&amp;G$1&amp;",",","&amp;SUBSTITUTE(Catalogo!$F77," ","")&amp;",")),Catalogo!$H77&lt;&gt;"N"),"●","")</f>
        <v/>
      </c>
      <c r="H77" s="19">
        <f>IF(AND(ISNUMBER(SEARCH(","&amp;H$1&amp;",",","&amp;SUBSTITUTE(Catalogo!$F77," ","")&amp;",")),Catalogo!$H77&lt;&gt;"N"),"●","")</f>
        <v/>
      </c>
      <c r="I77" s="19">
        <f>IF(AND(ISNUMBER(SEARCH(","&amp;I$1&amp;",",","&amp;SUBSTITUTE(Catalogo!$F77," ","")&amp;",")),Catalogo!$H77&lt;&gt;"N"),"●","")</f>
        <v/>
      </c>
      <c r="J77" s="19">
        <f>IF(AND(ISNUMBER(SEARCH(","&amp;J$1&amp;",",","&amp;SUBSTITUTE(Catalogo!$F77," ","")&amp;",")),Catalogo!$H77&lt;&gt;"N"),"●","")</f>
        <v/>
      </c>
      <c r="K77" s="19">
        <f>IF(AND(ISNUMBER(SEARCH(","&amp;K$1&amp;",",","&amp;SUBSTITUTE(Catalogo!$F77," ","")&amp;",")),Catalogo!$H77&lt;&gt;"N"),"●","")</f>
        <v/>
      </c>
      <c r="L77" s="19">
        <f>IF(AND(ISNUMBER(SEARCH(","&amp;L$1&amp;",",","&amp;SUBSTITUTE(Catalogo!$F77," ","")&amp;",")),Catalogo!$H77&lt;&gt;"N"),"●","")</f>
        <v/>
      </c>
      <c r="M77" s="19">
        <f>IF(AND(ISNUMBER(SEARCH(","&amp;M$1&amp;",",","&amp;SUBSTITUTE(Catalogo!$F77," ","")&amp;",")),Catalogo!$H77&lt;&gt;"N"),"●","")</f>
        <v/>
      </c>
    </row>
    <row r="78">
      <c r="A78" s="17">
        <f>Catalogo!A78</f>
        <v/>
      </c>
      <c r="B78" s="17">
        <f>Catalogo!C78</f>
        <v/>
      </c>
      <c r="C78" s="19">
        <f>IF(Catalogo!H78="","(vazio)",Catalogo!H78)</f>
        <v/>
      </c>
      <c r="D78" s="19">
        <f>IF(AND(ISNUMBER(SEARCH(","&amp;D$1&amp;",",","&amp;SUBSTITUTE(Catalogo!$F78," ","")&amp;",")),Catalogo!$H78&lt;&gt;"N"),"●","")</f>
        <v/>
      </c>
      <c r="E78" s="19">
        <f>IF(AND(ISNUMBER(SEARCH(","&amp;E$1&amp;",",","&amp;SUBSTITUTE(Catalogo!$F78," ","")&amp;",")),Catalogo!$H78&lt;&gt;"N"),"●","")</f>
        <v/>
      </c>
      <c r="F78" s="19">
        <f>IF(AND(ISNUMBER(SEARCH(","&amp;F$1&amp;",",","&amp;SUBSTITUTE(Catalogo!$F78," ","")&amp;",")),Catalogo!$H78&lt;&gt;"N"),"●","")</f>
        <v/>
      </c>
      <c r="G78" s="19">
        <f>IF(AND(ISNUMBER(SEARCH(","&amp;G$1&amp;",",","&amp;SUBSTITUTE(Catalogo!$F78," ","")&amp;",")),Catalogo!$H78&lt;&gt;"N"),"●","")</f>
        <v/>
      </c>
      <c r="H78" s="19">
        <f>IF(AND(ISNUMBER(SEARCH(","&amp;H$1&amp;",",","&amp;SUBSTITUTE(Catalogo!$F78," ","")&amp;",")),Catalogo!$H78&lt;&gt;"N"),"●","")</f>
        <v/>
      </c>
      <c r="I78" s="19">
        <f>IF(AND(ISNUMBER(SEARCH(","&amp;I$1&amp;",",","&amp;SUBSTITUTE(Catalogo!$F78," ","")&amp;",")),Catalogo!$H78&lt;&gt;"N"),"●","")</f>
        <v/>
      </c>
      <c r="J78" s="19">
        <f>IF(AND(ISNUMBER(SEARCH(","&amp;J$1&amp;",",","&amp;SUBSTITUTE(Catalogo!$F78," ","")&amp;",")),Catalogo!$H78&lt;&gt;"N"),"●","")</f>
        <v/>
      </c>
      <c r="K78" s="19">
        <f>IF(AND(ISNUMBER(SEARCH(","&amp;K$1&amp;",",","&amp;SUBSTITUTE(Catalogo!$F78," ","")&amp;",")),Catalogo!$H78&lt;&gt;"N"),"●","")</f>
        <v/>
      </c>
      <c r="L78" s="19">
        <f>IF(AND(ISNUMBER(SEARCH(","&amp;L$1&amp;",",","&amp;SUBSTITUTE(Catalogo!$F78," ","")&amp;",")),Catalogo!$H78&lt;&gt;"N"),"●","")</f>
        <v/>
      </c>
      <c r="M78" s="19">
        <f>IF(AND(ISNUMBER(SEARCH(","&amp;M$1&amp;",",","&amp;SUBSTITUTE(Catalogo!$F78," ","")&amp;",")),Catalogo!$H78&lt;&gt;"N"),"●","")</f>
        <v/>
      </c>
    </row>
    <row r="79">
      <c r="A79" s="17">
        <f>Catalogo!A79</f>
        <v/>
      </c>
      <c r="B79" s="17">
        <f>Catalogo!C79</f>
        <v/>
      </c>
      <c r="C79" s="19">
        <f>IF(Catalogo!H79="","(vazio)",Catalogo!H79)</f>
        <v/>
      </c>
      <c r="D79" s="19">
        <f>IF(AND(ISNUMBER(SEARCH(","&amp;D$1&amp;",",","&amp;SUBSTITUTE(Catalogo!$F79," ","")&amp;",")),Catalogo!$H79&lt;&gt;"N"),"●","")</f>
        <v/>
      </c>
      <c r="E79" s="19">
        <f>IF(AND(ISNUMBER(SEARCH(","&amp;E$1&amp;",",","&amp;SUBSTITUTE(Catalogo!$F79," ","")&amp;",")),Catalogo!$H79&lt;&gt;"N"),"●","")</f>
        <v/>
      </c>
      <c r="F79" s="19">
        <f>IF(AND(ISNUMBER(SEARCH(","&amp;F$1&amp;",",","&amp;SUBSTITUTE(Catalogo!$F79," ","")&amp;",")),Catalogo!$H79&lt;&gt;"N"),"●","")</f>
        <v/>
      </c>
      <c r="G79" s="19">
        <f>IF(AND(ISNUMBER(SEARCH(","&amp;G$1&amp;",",","&amp;SUBSTITUTE(Catalogo!$F79," ","")&amp;",")),Catalogo!$H79&lt;&gt;"N"),"●","")</f>
        <v/>
      </c>
      <c r="H79" s="19">
        <f>IF(AND(ISNUMBER(SEARCH(","&amp;H$1&amp;",",","&amp;SUBSTITUTE(Catalogo!$F79," ","")&amp;",")),Catalogo!$H79&lt;&gt;"N"),"●","")</f>
        <v/>
      </c>
      <c r="I79" s="19">
        <f>IF(AND(ISNUMBER(SEARCH(","&amp;I$1&amp;",",","&amp;SUBSTITUTE(Catalogo!$F79," ","")&amp;",")),Catalogo!$H79&lt;&gt;"N"),"●","")</f>
        <v/>
      </c>
      <c r="J79" s="19">
        <f>IF(AND(ISNUMBER(SEARCH(","&amp;J$1&amp;",",","&amp;SUBSTITUTE(Catalogo!$F79," ","")&amp;",")),Catalogo!$H79&lt;&gt;"N"),"●","")</f>
        <v/>
      </c>
      <c r="K79" s="19">
        <f>IF(AND(ISNUMBER(SEARCH(","&amp;K$1&amp;",",","&amp;SUBSTITUTE(Catalogo!$F79," ","")&amp;",")),Catalogo!$H79&lt;&gt;"N"),"●","")</f>
        <v/>
      </c>
      <c r="L79" s="19">
        <f>IF(AND(ISNUMBER(SEARCH(","&amp;L$1&amp;",",","&amp;SUBSTITUTE(Catalogo!$F79," ","")&amp;",")),Catalogo!$H79&lt;&gt;"N"),"●","")</f>
        <v/>
      </c>
      <c r="M79" s="19">
        <f>IF(AND(ISNUMBER(SEARCH(","&amp;M$1&amp;",",","&amp;SUBSTITUTE(Catalogo!$F79," ","")&amp;",")),Catalogo!$H79&lt;&gt;"N"),"●","")</f>
        <v/>
      </c>
    </row>
    <row r="80">
      <c r="A80" s="17">
        <f>Catalogo!A80</f>
        <v/>
      </c>
      <c r="B80" s="17">
        <f>Catalogo!C80</f>
        <v/>
      </c>
      <c r="C80" s="19">
        <f>IF(Catalogo!H80="","(vazio)",Catalogo!H80)</f>
        <v/>
      </c>
      <c r="D80" s="19">
        <f>IF(AND(ISNUMBER(SEARCH(","&amp;D$1&amp;",",","&amp;SUBSTITUTE(Catalogo!$F80," ","")&amp;",")),Catalogo!$H80&lt;&gt;"N"),"●","")</f>
        <v/>
      </c>
      <c r="E80" s="19">
        <f>IF(AND(ISNUMBER(SEARCH(","&amp;E$1&amp;",",","&amp;SUBSTITUTE(Catalogo!$F80," ","")&amp;",")),Catalogo!$H80&lt;&gt;"N"),"●","")</f>
        <v/>
      </c>
      <c r="F80" s="19">
        <f>IF(AND(ISNUMBER(SEARCH(","&amp;F$1&amp;",",","&amp;SUBSTITUTE(Catalogo!$F80," ","")&amp;",")),Catalogo!$H80&lt;&gt;"N"),"●","")</f>
        <v/>
      </c>
      <c r="G80" s="19">
        <f>IF(AND(ISNUMBER(SEARCH(","&amp;G$1&amp;",",","&amp;SUBSTITUTE(Catalogo!$F80," ","")&amp;",")),Catalogo!$H80&lt;&gt;"N"),"●","")</f>
        <v/>
      </c>
      <c r="H80" s="19">
        <f>IF(AND(ISNUMBER(SEARCH(","&amp;H$1&amp;",",","&amp;SUBSTITUTE(Catalogo!$F80," ","")&amp;",")),Catalogo!$H80&lt;&gt;"N"),"●","")</f>
        <v/>
      </c>
      <c r="I80" s="19">
        <f>IF(AND(ISNUMBER(SEARCH(","&amp;I$1&amp;",",","&amp;SUBSTITUTE(Catalogo!$F80," ","")&amp;",")),Catalogo!$H80&lt;&gt;"N"),"●","")</f>
        <v/>
      </c>
      <c r="J80" s="19">
        <f>IF(AND(ISNUMBER(SEARCH(","&amp;J$1&amp;",",","&amp;SUBSTITUTE(Catalogo!$F80," ","")&amp;",")),Catalogo!$H80&lt;&gt;"N"),"●","")</f>
        <v/>
      </c>
      <c r="K80" s="19">
        <f>IF(AND(ISNUMBER(SEARCH(","&amp;K$1&amp;",",","&amp;SUBSTITUTE(Catalogo!$F80," ","")&amp;",")),Catalogo!$H80&lt;&gt;"N"),"●","")</f>
        <v/>
      </c>
      <c r="L80" s="19">
        <f>IF(AND(ISNUMBER(SEARCH(","&amp;L$1&amp;",",","&amp;SUBSTITUTE(Catalogo!$F80," ","")&amp;",")),Catalogo!$H80&lt;&gt;"N"),"●","")</f>
        <v/>
      </c>
      <c r="M80" s="19">
        <f>IF(AND(ISNUMBER(SEARCH(","&amp;M$1&amp;",",","&amp;SUBSTITUTE(Catalogo!$F80," ","")&amp;",")),Catalogo!$H80&lt;&gt;"N"),"●","")</f>
        <v/>
      </c>
    </row>
    <row r="81">
      <c r="A81" s="17">
        <f>Catalogo!A81</f>
        <v/>
      </c>
      <c r="B81" s="17">
        <f>Catalogo!C81</f>
        <v/>
      </c>
      <c r="C81" s="19">
        <f>IF(Catalogo!H81="","(vazio)",Catalogo!H81)</f>
        <v/>
      </c>
      <c r="D81" s="19">
        <f>IF(AND(ISNUMBER(SEARCH(","&amp;D$1&amp;",",","&amp;SUBSTITUTE(Catalogo!$F81," ","")&amp;",")),Catalogo!$H81&lt;&gt;"N"),"●","")</f>
        <v/>
      </c>
      <c r="E81" s="19">
        <f>IF(AND(ISNUMBER(SEARCH(","&amp;E$1&amp;",",","&amp;SUBSTITUTE(Catalogo!$F81," ","")&amp;",")),Catalogo!$H81&lt;&gt;"N"),"●","")</f>
        <v/>
      </c>
      <c r="F81" s="19">
        <f>IF(AND(ISNUMBER(SEARCH(","&amp;F$1&amp;",",","&amp;SUBSTITUTE(Catalogo!$F81," ","")&amp;",")),Catalogo!$H81&lt;&gt;"N"),"●","")</f>
        <v/>
      </c>
      <c r="G81" s="19">
        <f>IF(AND(ISNUMBER(SEARCH(","&amp;G$1&amp;",",","&amp;SUBSTITUTE(Catalogo!$F81," ","")&amp;",")),Catalogo!$H81&lt;&gt;"N"),"●","")</f>
        <v/>
      </c>
      <c r="H81" s="19">
        <f>IF(AND(ISNUMBER(SEARCH(","&amp;H$1&amp;",",","&amp;SUBSTITUTE(Catalogo!$F81," ","")&amp;",")),Catalogo!$H81&lt;&gt;"N"),"●","")</f>
        <v/>
      </c>
      <c r="I81" s="19">
        <f>IF(AND(ISNUMBER(SEARCH(","&amp;I$1&amp;",",","&amp;SUBSTITUTE(Catalogo!$F81," ","")&amp;",")),Catalogo!$H81&lt;&gt;"N"),"●","")</f>
        <v/>
      </c>
      <c r="J81" s="19">
        <f>IF(AND(ISNUMBER(SEARCH(","&amp;J$1&amp;",",","&amp;SUBSTITUTE(Catalogo!$F81," ","")&amp;",")),Catalogo!$H81&lt;&gt;"N"),"●","")</f>
        <v/>
      </c>
      <c r="K81" s="19">
        <f>IF(AND(ISNUMBER(SEARCH(","&amp;K$1&amp;",",","&amp;SUBSTITUTE(Catalogo!$F81," ","")&amp;",")),Catalogo!$H81&lt;&gt;"N"),"●","")</f>
        <v/>
      </c>
      <c r="L81" s="19">
        <f>IF(AND(ISNUMBER(SEARCH(","&amp;L$1&amp;",",","&amp;SUBSTITUTE(Catalogo!$F81," ","")&amp;",")),Catalogo!$H81&lt;&gt;"N"),"●","")</f>
        <v/>
      </c>
      <c r="M81" s="19">
        <f>IF(AND(ISNUMBER(SEARCH(","&amp;M$1&amp;",",","&amp;SUBSTITUTE(Catalogo!$F81," ","")&amp;",")),Catalogo!$H81&lt;&gt;"N"),"●","")</f>
        <v/>
      </c>
    </row>
    <row r="82">
      <c r="A82" s="17">
        <f>Catalogo!A82</f>
        <v/>
      </c>
      <c r="B82" s="17">
        <f>Catalogo!C82</f>
        <v/>
      </c>
      <c r="C82" s="19">
        <f>IF(Catalogo!H82="","(vazio)",Catalogo!H82)</f>
        <v/>
      </c>
      <c r="D82" s="19">
        <f>IF(AND(ISNUMBER(SEARCH(","&amp;D$1&amp;",",","&amp;SUBSTITUTE(Catalogo!$F82," ","")&amp;",")),Catalogo!$H82&lt;&gt;"N"),"●","")</f>
        <v/>
      </c>
      <c r="E82" s="19">
        <f>IF(AND(ISNUMBER(SEARCH(","&amp;E$1&amp;",",","&amp;SUBSTITUTE(Catalogo!$F82," ","")&amp;",")),Catalogo!$H82&lt;&gt;"N"),"●","")</f>
        <v/>
      </c>
      <c r="F82" s="19">
        <f>IF(AND(ISNUMBER(SEARCH(","&amp;F$1&amp;",",","&amp;SUBSTITUTE(Catalogo!$F82," ","")&amp;",")),Catalogo!$H82&lt;&gt;"N"),"●","")</f>
        <v/>
      </c>
      <c r="G82" s="19">
        <f>IF(AND(ISNUMBER(SEARCH(","&amp;G$1&amp;",",","&amp;SUBSTITUTE(Catalogo!$F82," ","")&amp;",")),Catalogo!$H82&lt;&gt;"N"),"●","")</f>
        <v/>
      </c>
      <c r="H82" s="19">
        <f>IF(AND(ISNUMBER(SEARCH(","&amp;H$1&amp;",",","&amp;SUBSTITUTE(Catalogo!$F82," ","")&amp;",")),Catalogo!$H82&lt;&gt;"N"),"●","")</f>
        <v/>
      </c>
      <c r="I82" s="19">
        <f>IF(AND(ISNUMBER(SEARCH(","&amp;I$1&amp;",",","&amp;SUBSTITUTE(Catalogo!$F82," ","")&amp;",")),Catalogo!$H82&lt;&gt;"N"),"●","")</f>
        <v/>
      </c>
      <c r="J82" s="19">
        <f>IF(AND(ISNUMBER(SEARCH(","&amp;J$1&amp;",",","&amp;SUBSTITUTE(Catalogo!$F82," ","")&amp;",")),Catalogo!$H82&lt;&gt;"N"),"●","")</f>
        <v/>
      </c>
      <c r="K82" s="19">
        <f>IF(AND(ISNUMBER(SEARCH(","&amp;K$1&amp;",",","&amp;SUBSTITUTE(Catalogo!$F82," ","")&amp;",")),Catalogo!$H82&lt;&gt;"N"),"●","")</f>
        <v/>
      </c>
      <c r="L82" s="19">
        <f>IF(AND(ISNUMBER(SEARCH(","&amp;L$1&amp;",",","&amp;SUBSTITUTE(Catalogo!$F82," ","")&amp;",")),Catalogo!$H82&lt;&gt;"N"),"●","")</f>
        <v/>
      </c>
      <c r="M82" s="19">
        <f>IF(AND(ISNUMBER(SEARCH(","&amp;M$1&amp;",",","&amp;SUBSTITUTE(Catalogo!$F82," ","")&amp;",")),Catalogo!$H82&lt;&gt;"N"),"●","")</f>
        <v/>
      </c>
    </row>
    <row r="83">
      <c r="A83" s="17">
        <f>Catalogo!A83</f>
        <v/>
      </c>
      <c r="B83" s="17">
        <f>Catalogo!C83</f>
        <v/>
      </c>
      <c r="C83" s="19">
        <f>IF(Catalogo!H83="","(vazio)",Catalogo!H83)</f>
        <v/>
      </c>
      <c r="D83" s="19">
        <f>IF(AND(ISNUMBER(SEARCH(","&amp;D$1&amp;",",","&amp;SUBSTITUTE(Catalogo!$F83," ","")&amp;",")),Catalogo!$H83&lt;&gt;"N"),"●","")</f>
        <v/>
      </c>
      <c r="E83" s="19">
        <f>IF(AND(ISNUMBER(SEARCH(","&amp;E$1&amp;",",","&amp;SUBSTITUTE(Catalogo!$F83," ","")&amp;",")),Catalogo!$H83&lt;&gt;"N"),"●","")</f>
        <v/>
      </c>
      <c r="F83" s="19">
        <f>IF(AND(ISNUMBER(SEARCH(","&amp;F$1&amp;",",","&amp;SUBSTITUTE(Catalogo!$F83," ","")&amp;",")),Catalogo!$H83&lt;&gt;"N"),"●","")</f>
        <v/>
      </c>
      <c r="G83" s="19">
        <f>IF(AND(ISNUMBER(SEARCH(","&amp;G$1&amp;",",","&amp;SUBSTITUTE(Catalogo!$F83," ","")&amp;",")),Catalogo!$H83&lt;&gt;"N"),"●","")</f>
        <v/>
      </c>
      <c r="H83" s="19">
        <f>IF(AND(ISNUMBER(SEARCH(","&amp;H$1&amp;",",","&amp;SUBSTITUTE(Catalogo!$F83," ","")&amp;",")),Catalogo!$H83&lt;&gt;"N"),"●","")</f>
        <v/>
      </c>
      <c r="I83" s="19">
        <f>IF(AND(ISNUMBER(SEARCH(","&amp;I$1&amp;",",","&amp;SUBSTITUTE(Catalogo!$F83," ","")&amp;",")),Catalogo!$H83&lt;&gt;"N"),"●","")</f>
        <v/>
      </c>
      <c r="J83" s="19">
        <f>IF(AND(ISNUMBER(SEARCH(","&amp;J$1&amp;",",","&amp;SUBSTITUTE(Catalogo!$F83," ","")&amp;",")),Catalogo!$H83&lt;&gt;"N"),"●","")</f>
        <v/>
      </c>
      <c r="K83" s="19">
        <f>IF(AND(ISNUMBER(SEARCH(","&amp;K$1&amp;",",","&amp;SUBSTITUTE(Catalogo!$F83," ","")&amp;",")),Catalogo!$H83&lt;&gt;"N"),"●","")</f>
        <v/>
      </c>
      <c r="L83" s="19">
        <f>IF(AND(ISNUMBER(SEARCH(","&amp;L$1&amp;",",","&amp;SUBSTITUTE(Catalogo!$F83," ","")&amp;",")),Catalogo!$H83&lt;&gt;"N"),"●","")</f>
        <v/>
      </c>
      <c r="M83" s="19">
        <f>IF(AND(ISNUMBER(SEARCH(","&amp;M$1&amp;",",","&amp;SUBSTITUTE(Catalogo!$F83," ","")&amp;",")),Catalogo!$H83&lt;&gt;"N"),"●","")</f>
        <v/>
      </c>
    </row>
    <row r="84">
      <c r="A84" s="17">
        <f>Catalogo!A84</f>
        <v/>
      </c>
      <c r="B84" s="17">
        <f>Catalogo!C84</f>
        <v/>
      </c>
      <c r="C84" s="19">
        <f>IF(Catalogo!H84="","(vazio)",Catalogo!H84)</f>
        <v/>
      </c>
      <c r="D84" s="19">
        <f>IF(AND(ISNUMBER(SEARCH(","&amp;D$1&amp;",",","&amp;SUBSTITUTE(Catalogo!$F84," ","")&amp;",")),Catalogo!$H84&lt;&gt;"N"),"●","")</f>
        <v/>
      </c>
      <c r="E84" s="19">
        <f>IF(AND(ISNUMBER(SEARCH(","&amp;E$1&amp;",",","&amp;SUBSTITUTE(Catalogo!$F84," ","")&amp;",")),Catalogo!$H84&lt;&gt;"N"),"●","")</f>
        <v/>
      </c>
      <c r="F84" s="19">
        <f>IF(AND(ISNUMBER(SEARCH(","&amp;F$1&amp;",",","&amp;SUBSTITUTE(Catalogo!$F84," ","")&amp;",")),Catalogo!$H84&lt;&gt;"N"),"●","")</f>
        <v/>
      </c>
      <c r="G84" s="19">
        <f>IF(AND(ISNUMBER(SEARCH(","&amp;G$1&amp;",",","&amp;SUBSTITUTE(Catalogo!$F84," ","")&amp;",")),Catalogo!$H84&lt;&gt;"N"),"●","")</f>
        <v/>
      </c>
      <c r="H84" s="19">
        <f>IF(AND(ISNUMBER(SEARCH(","&amp;H$1&amp;",",","&amp;SUBSTITUTE(Catalogo!$F84," ","")&amp;",")),Catalogo!$H84&lt;&gt;"N"),"●","")</f>
        <v/>
      </c>
      <c r="I84" s="19">
        <f>IF(AND(ISNUMBER(SEARCH(","&amp;I$1&amp;",",","&amp;SUBSTITUTE(Catalogo!$F84," ","")&amp;",")),Catalogo!$H84&lt;&gt;"N"),"●","")</f>
        <v/>
      </c>
      <c r="J84" s="19">
        <f>IF(AND(ISNUMBER(SEARCH(","&amp;J$1&amp;",",","&amp;SUBSTITUTE(Catalogo!$F84," ","")&amp;",")),Catalogo!$H84&lt;&gt;"N"),"●","")</f>
        <v/>
      </c>
      <c r="K84" s="19">
        <f>IF(AND(ISNUMBER(SEARCH(","&amp;K$1&amp;",",","&amp;SUBSTITUTE(Catalogo!$F84," ","")&amp;",")),Catalogo!$H84&lt;&gt;"N"),"●","")</f>
        <v/>
      </c>
      <c r="L84" s="19">
        <f>IF(AND(ISNUMBER(SEARCH(","&amp;L$1&amp;",",","&amp;SUBSTITUTE(Catalogo!$F84," ","")&amp;",")),Catalogo!$H84&lt;&gt;"N"),"●","")</f>
        <v/>
      </c>
      <c r="M84" s="19">
        <f>IF(AND(ISNUMBER(SEARCH(","&amp;M$1&amp;",",","&amp;SUBSTITUTE(Catalogo!$F84," ","")&amp;",")),Catalogo!$H84&lt;&gt;"N"),"●","")</f>
        <v/>
      </c>
    </row>
    <row r="85">
      <c r="A85" s="17">
        <f>Catalogo!A85</f>
        <v/>
      </c>
      <c r="B85" s="17">
        <f>Catalogo!C85</f>
        <v/>
      </c>
      <c r="C85" s="19">
        <f>IF(Catalogo!H85="","(vazio)",Catalogo!H85)</f>
        <v/>
      </c>
      <c r="D85" s="19">
        <f>IF(AND(ISNUMBER(SEARCH(","&amp;D$1&amp;",",","&amp;SUBSTITUTE(Catalogo!$F85," ","")&amp;",")),Catalogo!$H85&lt;&gt;"N"),"●","")</f>
        <v/>
      </c>
      <c r="E85" s="19">
        <f>IF(AND(ISNUMBER(SEARCH(","&amp;E$1&amp;",",","&amp;SUBSTITUTE(Catalogo!$F85," ","")&amp;",")),Catalogo!$H85&lt;&gt;"N"),"●","")</f>
        <v/>
      </c>
      <c r="F85" s="19">
        <f>IF(AND(ISNUMBER(SEARCH(","&amp;F$1&amp;",",","&amp;SUBSTITUTE(Catalogo!$F85," ","")&amp;",")),Catalogo!$H85&lt;&gt;"N"),"●","")</f>
        <v/>
      </c>
      <c r="G85" s="19">
        <f>IF(AND(ISNUMBER(SEARCH(","&amp;G$1&amp;",",","&amp;SUBSTITUTE(Catalogo!$F85," ","")&amp;",")),Catalogo!$H85&lt;&gt;"N"),"●","")</f>
        <v/>
      </c>
      <c r="H85" s="19">
        <f>IF(AND(ISNUMBER(SEARCH(","&amp;H$1&amp;",",","&amp;SUBSTITUTE(Catalogo!$F85," ","")&amp;",")),Catalogo!$H85&lt;&gt;"N"),"●","")</f>
        <v/>
      </c>
      <c r="I85" s="19">
        <f>IF(AND(ISNUMBER(SEARCH(","&amp;I$1&amp;",",","&amp;SUBSTITUTE(Catalogo!$F85," ","")&amp;",")),Catalogo!$H85&lt;&gt;"N"),"●","")</f>
        <v/>
      </c>
      <c r="J85" s="19">
        <f>IF(AND(ISNUMBER(SEARCH(","&amp;J$1&amp;",",","&amp;SUBSTITUTE(Catalogo!$F85," ","")&amp;",")),Catalogo!$H85&lt;&gt;"N"),"●","")</f>
        <v/>
      </c>
      <c r="K85" s="19">
        <f>IF(AND(ISNUMBER(SEARCH(","&amp;K$1&amp;",",","&amp;SUBSTITUTE(Catalogo!$F85," ","")&amp;",")),Catalogo!$H85&lt;&gt;"N"),"●","")</f>
        <v/>
      </c>
      <c r="L85" s="19">
        <f>IF(AND(ISNUMBER(SEARCH(","&amp;L$1&amp;",",","&amp;SUBSTITUTE(Catalogo!$F85," ","")&amp;",")),Catalogo!$H85&lt;&gt;"N"),"●","")</f>
        <v/>
      </c>
      <c r="M85" s="19">
        <f>IF(AND(ISNUMBER(SEARCH(","&amp;M$1&amp;",",","&amp;SUBSTITUTE(Catalogo!$F85," ","")&amp;",")),Catalogo!$H85&lt;&gt;"N"),"●","")</f>
        <v/>
      </c>
    </row>
    <row r="86">
      <c r="A86" s="17">
        <f>Catalogo!A86</f>
        <v/>
      </c>
      <c r="B86" s="17">
        <f>Catalogo!C86</f>
        <v/>
      </c>
      <c r="C86" s="19">
        <f>IF(Catalogo!H86="","(vazio)",Catalogo!H86)</f>
        <v/>
      </c>
      <c r="D86" s="19">
        <f>IF(AND(ISNUMBER(SEARCH(","&amp;D$1&amp;",",","&amp;SUBSTITUTE(Catalogo!$F86," ","")&amp;",")),Catalogo!$H86&lt;&gt;"N"),"●","")</f>
        <v/>
      </c>
      <c r="E86" s="19">
        <f>IF(AND(ISNUMBER(SEARCH(","&amp;E$1&amp;",",","&amp;SUBSTITUTE(Catalogo!$F86," ","")&amp;",")),Catalogo!$H86&lt;&gt;"N"),"●","")</f>
        <v/>
      </c>
      <c r="F86" s="19">
        <f>IF(AND(ISNUMBER(SEARCH(","&amp;F$1&amp;",",","&amp;SUBSTITUTE(Catalogo!$F86," ","")&amp;",")),Catalogo!$H86&lt;&gt;"N"),"●","")</f>
        <v/>
      </c>
      <c r="G86" s="19">
        <f>IF(AND(ISNUMBER(SEARCH(","&amp;G$1&amp;",",","&amp;SUBSTITUTE(Catalogo!$F86," ","")&amp;",")),Catalogo!$H86&lt;&gt;"N"),"●","")</f>
        <v/>
      </c>
      <c r="H86" s="19">
        <f>IF(AND(ISNUMBER(SEARCH(","&amp;H$1&amp;",",","&amp;SUBSTITUTE(Catalogo!$F86," ","")&amp;",")),Catalogo!$H86&lt;&gt;"N"),"●","")</f>
        <v/>
      </c>
      <c r="I86" s="19">
        <f>IF(AND(ISNUMBER(SEARCH(","&amp;I$1&amp;",",","&amp;SUBSTITUTE(Catalogo!$F86," ","")&amp;",")),Catalogo!$H86&lt;&gt;"N"),"●","")</f>
        <v/>
      </c>
      <c r="J86" s="19">
        <f>IF(AND(ISNUMBER(SEARCH(","&amp;J$1&amp;",",","&amp;SUBSTITUTE(Catalogo!$F86," ","")&amp;",")),Catalogo!$H86&lt;&gt;"N"),"●","")</f>
        <v/>
      </c>
      <c r="K86" s="19">
        <f>IF(AND(ISNUMBER(SEARCH(","&amp;K$1&amp;",",","&amp;SUBSTITUTE(Catalogo!$F86," ","")&amp;",")),Catalogo!$H86&lt;&gt;"N"),"●","")</f>
        <v/>
      </c>
      <c r="L86" s="19">
        <f>IF(AND(ISNUMBER(SEARCH(","&amp;L$1&amp;",",","&amp;SUBSTITUTE(Catalogo!$F86," ","")&amp;",")),Catalogo!$H86&lt;&gt;"N"),"●","")</f>
        <v/>
      </c>
      <c r="M86" s="19">
        <f>IF(AND(ISNUMBER(SEARCH(","&amp;M$1&amp;",",","&amp;SUBSTITUTE(Catalogo!$F86," ","")&amp;",")),Catalogo!$H86&lt;&gt;"N"),"●","")</f>
        <v/>
      </c>
    </row>
    <row r="87">
      <c r="A87" s="17">
        <f>Catalogo!A87</f>
        <v/>
      </c>
      <c r="B87" s="17">
        <f>Catalogo!C87</f>
        <v/>
      </c>
      <c r="C87" s="19">
        <f>IF(Catalogo!H87="","(vazio)",Catalogo!H87)</f>
        <v/>
      </c>
      <c r="D87" s="19">
        <f>IF(AND(ISNUMBER(SEARCH(","&amp;D$1&amp;",",","&amp;SUBSTITUTE(Catalogo!$F87," ","")&amp;",")),Catalogo!$H87&lt;&gt;"N"),"●","")</f>
        <v/>
      </c>
      <c r="E87" s="19">
        <f>IF(AND(ISNUMBER(SEARCH(","&amp;E$1&amp;",",","&amp;SUBSTITUTE(Catalogo!$F87," ","")&amp;",")),Catalogo!$H87&lt;&gt;"N"),"●","")</f>
        <v/>
      </c>
      <c r="F87" s="19">
        <f>IF(AND(ISNUMBER(SEARCH(","&amp;F$1&amp;",",","&amp;SUBSTITUTE(Catalogo!$F87," ","")&amp;",")),Catalogo!$H87&lt;&gt;"N"),"●","")</f>
        <v/>
      </c>
      <c r="G87" s="19">
        <f>IF(AND(ISNUMBER(SEARCH(","&amp;G$1&amp;",",","&amp;SUBSTITUTE(Catalogo!$F87," ","")&amp;",")),Catalogo!$H87&lt;&gt;"N"),"●","")</f>
        <v/>
      </c>
      <c r="H87" s="19">
        <f>IF(AND(ISNUMBER(SEARCH(","&amp;H$1&amp;",",","&amp;SUBSTITUTE(Catalogo!$F87," ","")&amp;",")),Catalogo!$H87&lt;&gt;"N"),"●","")</f>
        <v/>
      </c>
      <c r="I87" s="19">
        <f>IF(AND(ISNUMBER(SEARCH(","&amp;I$1&amp;",",","&amp;SUBSTITUTE(Catalogo!$F87," ","")&amp;",")),Catalogo!$H87&lt;&gt;"N"),"●","")</f>
        <v/>
      </c>
      <c r="J87" s="19">
        <f>IF(AND(ISNUMBER(SEARCH(","&amp;J$1&amp;",",","&amp;SUBSTITUTE(Catalogo!$F87," ","")&amp;",")),Catalogo!$H87&lt;&gt;"N"),"●","")</f>
        <v/>
      </c>
      <c r="K87" s="19">
        <f>IF(AND(ISNUMBER(SEARCH(","&amp;K$1&amp;",",","&amp;SUBSTITUTE(Catalogo!$F87," ","")&amp;",")),Catalogo!$H87&lt;&gt;"N"),"●","")</f>
        <v/>
      </c>
      <c r="L87" s="19">
        <f>IF(AND(ISNUMBER(SEARCH(","&amp;L$1&amp;",",","&amp;SUBSTITUTE(Catalogo!$F87," ","")&amp;",")),Catalogo!$H87&lt;&gt;"N"),"●","")</f>
        <v/>
      </c>
      <c r="M87" s="19">
        <f>IF(AND(ISNUMBER(SEARCH(","&amp;M$1&amp;",",","&amp;SUBSTITUTE(Catalogo!$F87," ","")&amp;",")),Catalogo!$H87&lt;&gt;"N"),"●","")</f>
        <v/>
      </c>
    </row>
    <row r="88">
      <c r="A88" s="17">
        <f>Catalogo!A88</f>
        <v/>
      </c>
      <c r="B88" s="17">
        <f>Catalogo!C88</f>
        <v/>
      </c>
      <c r="C88" s="19">
        <f>IF(Catalogo!H88="","(vazio)",Catalogo!H88)</f>
        <v/>
      </c>
      <c r="D88" s="19">
        <f>IF(AND(ISNUMBER(SEARCH(","&amp;D$1&amp;",",","&amp;SUBSTITUTE(Catalogo!$F88," ","")&amp;",")),Catalogo!$H88&lt;&gt;"N"),"●","")</f>
        <v/>
      </c>
      <c r="E88" s="19">
        <f>IF(AND(ISNUMBER(SEARCH(","&amp;E$1&amp;",",","&amp;SUBSTITUTE(Catalogo!$F88," ","")&amp;",")),Catalogo!$H88&lt;&gt;"N"),"●","")</f>
        <v/>
      </c>
      <c r="F88" s="19">
        <f>IF(AND(ISNUMBER(SEARCH(","&amp;F$1&amp;",",","&amp;SUBSTITUTE(Catalogo!$F88," ","")&amp;",")),Catalogo!$H88&lt;&gt;"N"),"●","")</f>
        <v/>
      </c>
      <c r="G88" s="19">
        <f>IF(AND(ISNUMBER(SEARCH(","&amp;G$1&amp;",",","&amp;SUBSTITUTE(Catalogo!$F88," ","")&amp;",")),Catalogo!$H88&lt;&gt;"N"),"●","")</f>
        <v/>
      </c>
      <c r="H88" s="19">
        <f>IF(AND(ISNUMBER(SEARCH(","&amp;H$1&amp;",",","&amp;SUBSTITUTE(Catalogo!$F88," ","")&amp;",")),Catalogo!$H88&lt;&gt;"N"),"●","")</f>
        <v/>
      </c>
      <c r="I88" s="19">
        <f>IF(AND(ISNUMBER(SEARCH(","&amp;I$1&amp;",",","&amp;SUBSTITUTE(Catalogo!$F88," ","")&amp;",")),Catalogo!$H88&lt;&gt;"N"),"●","")</f>
        <v/>
      </c>
      <c r="J88" s="19">
        <f>IF(AND(ISNUMBER(SEARCH(","&amp;J$1&amp;",",","&amp;SUBSTITUTE(Catalogo!$F88," ","")&amp;",")),Catalogo!$H88&lt;&gt;"N"),"●","")</f>
        <v/>
      </c>
      <c r="K88" s="19">
        <f>IF(AND(ISNUMBER(SEARCH(","&amp;K$1&amp;",",","&amp;SUBSTITUTE(Catalogo!$F88," ","")&amp;",")),Catalogo!$H88&lt;&gt;"N"),"●","")</f>
        <v/>
      </c>
      <c r="L88" s="19">
        <f>IF(AND(ISNUMBER(SEARCH(","&amp;L$1&amp;",",","&amp;SUBSTITUTE(Catalogo!$F88," ","")&amp;",")),Catalogo!$H88&lt;&gt;"N"),"●","")</f>
        <v/>
      </c>
      <c r="M88" s="19">
        <f>IF(AND(ISNUMBER(SEARCH(","&amp;M$1&amp;",",","&amp;SUBSTITUTE(Catalogo!$F88," ","")&amp;",")),Catalogo!$H88&lt;&gt;"N"),"●","")</f>
        <v/>
      </c>
    </row>
    <row r="89">
      <c r="A89" s="17">
        <f>Catalogo!A89</f>
        <v/>
      </c>
      <c r="B89" s="17">
        <f>Catalogo!C89</f>
        <v/>
      </c>
      <c r="C89" s="19">
        <f>IF(Catalogo!H89="","(vazio)",Catalogo!H89)</f>
        <v/>
      </c>
      <c r="D89" s="19">
        <f>IF(AND(ISNUMBER(SEARCH(","&amp;D$1&amp;",",","&amp;SUBSTITUTE(Catalogo!$F89," ","")&amp;",")),Catalogo!$H89&lt;&gt;"N"),"●","")</f>
        <v/>
      </c>
      <c r="E89" s="19">
        <f>IF(AND(ISNUMBER(SEARCH(","&amp;E$1&amp;",",","&amp;SUBSTITUTE(Catalogo!$F89," ","")&amp;",")),Catalogo!$H89&lt;&gt;"N"),"●","")</f>
        <v/>
      </c>
      <c r="F89" s="19">
        <f>IF(AND(ISNUMBER(SEARCH(","&amp;F$1&amp;",",","&amp;SUBSTITUTE(Catalogo!$F89," ","")&amp;",")),Catalogo!$H89&lt;&gt;"N"),"●","")</f>
        <v/>
      </c>
      <c r="G89" s="19">
        <f>IF(AND(ISNUMBER(SEARCH(","&amp;G$1&amp;",",","&amp;SUBSTITUTE(Catalogo!$F89," ","")&amp;",")),Catalogo!$H89&lt;&gt;"N"),"●","")</f>
        <v/>
      </c>
      <c r="H89" s="19">
        <f>IF(AND(ISNUMBER(SEARCH(","&amp;H$1&amp;",",","&amp;SUBSTITUTE(Catalogo!$F89," ","")&amp;",")),Catalogo!$H89&lt;&gt;"N"),"●","")</f>
        <v/>
      </c>
      <c r="I89" s="19">
        <f>IF(AND(ISNUMBER(SEARCH(","&amp;I$1&amp;",",","&amp;SUBSTITUTE(Catalogo!$F89," ","")&amp;",")),Catalogo!$H89&lt;&gt;"N"),"●","")</f>
        <v/>
      </c>
      <c r="J89" s="19">
        <f>IF(AND(ISNUMBER(SEARCH(","&amp;J$1&amp;",",","&amp;SUBSTITUTE(Catalogo!$F89," ","")&amp;",")),Catalogo!$H89&lt;&gt;"N"),"●","")</f>
        <v/>
      </c>
      <c r="K89" s="19">
        <f>IF(AND(ISNUMBER(SEARCH(","&amp;K$1&amp;",",","&amp;SUBSTITUTE(Catalogo!$F89," ","")&amp;",")),Catalogo!$H89&lt;&gt;"N"),"●","")</f>
        <v/>
      </c>
      <c r="L89" s="19">
        <f>IF(AND(ISNUMBER(SEARCH(","&amp;L$1&amp;",",","&amp;SUBSTITUTE(Catalogo!$F89," ","")&amp;",")),Catalogo!$H89&lt;&gt;"N"),"●","")</f>
        <v/>
      </c>
      <c r="M89" s="19">
        <f>IF(AND(ISNUMBER(SEARCH(","&amp;M$1&amp;",",","&amp;SUBSTITUTE(Catalogo!$F89," ","")&amp;",")),Catalogo!$H89&lt;&gt;"N"),"●","")</f>
        <v/>
      </c>
    </row>
    <row r="90">
      <c r="A90" s="17">
        <f>Catalogo!A90</f>
        <v/>
      </c>
      <c r="B90" s="17">
        <f>Catalogo!C90</f>
        <v/>
      </c>
      <c r="C90" s="19">
        <f>IF(Catalogo!H90="","(vazio)",Catalogo!H90)</f>
        <v/>
      </c>
      <c r="D90" s="19">
        <f>IF(AND(ISNUMBER(SEARCH(","&amp;D$1&amp;",",","&amp;SUBSTITUTE(Catalogo!$F90," ","")&amp;",")),Catalogo!$H90&lt;&gt;"N"),"●","")</f>
        <v/>
      </c>
      <c r="E90" s="19">
        <f>IF(AND(ISNUMBER(SEARCH(","&amp;E$1&amp;",",","&amp;SUBSTITUTE(Catalogo!$F90," ","")&amp;",")),Catalogo!$H90&lt;&gt;"N"),"●","")</f>
        <v/>
      </c>
      <c r="F90" s="19">
        <f>IF(AND(ISNUMBER(SEARCH(","&amp;F$1&amp;",",","&amp;SUBSTITUTE(Catalogo!$F90," ","")&amp;",")),Catalogo!$H90&lt;&gt;"N"),"●","")</f>
        <v/>
      </c>
      <c r="G90" s="19">
        <f>IF(AND(ISNUMBER(SEARCH(","&amp;G$1&amp;",",","&amp;SUBSTITUTE(Catalogo!$F90," ","")&amp;",")),Catalogo!$H90&lt;&gt;"N"),"●","")</f>
        <v/>
      </c>
      <c r="H90" s="19">
        <f>IF(AND(ISNUMBER(SEARCH(","&amp;H$1&amp;",",","&amp;SUBSTITUTE(Catalogo!$F90," ","")&amp;",")),Catalogo!$H90&lt;&gt;"N"),"●","")</f>
        <v/>
      </c>
      <c r="I90" s="19">
        <f>IF(AND(ISNUMBER(SEARCH(","&amp;I$1&amp;",",","&amp;SUBSTITUTE(Catalogo!$F90," ","")&amp;",")),Catalogo!$H90&lt;&gt;"N"),"●","")</f>
        <v/>
      </c>
      <c r="J90" s="19">
        <f>IF(AND(ISNUMBER(SEARCH(","&amp;J$1&amp;",",","&amp;SUBSTITUTE(Catalogo!$F90," ","")&amp;",")),Catalogo!$H90&lt;&gt;"N"),"●","")</f>
        <v/>
      </c>
      <c r="K90" s="19">
        <f>IF(AND(ISNUMBER(SEARCH(","&amp;K$1&amp;",",","&amp;SUBSTITUTE(Catalogo!$F90," ","")&amp;",")),Catalogo!$H90&lt;&gt;"N"),"●","")</f>
        <v/>
      </c>
      <c r="L90" s="19">
        <f>IF(AND(ISNUMBER(SEARCH(","&amp;L$1&amp;",",","&amp;SUBSTITUTE(Catalogo!$F90," ","")&amp;",")),Catalogo!$H90&lt;&gt;"N"),"●","")</f>
        <v/>
      </c>
      <c r="M90" s="19">
        <f>IF(AND(ISNUMBER(SEARCH(","&amp;M$1&amp;",",","&amp;SUBSTITUTE(Catalogo!$F90," ","")&amp;",")),Catalogo!$H90&lt;&gt;"N"),"●","")</f>
        <v/>
      </c>
    </row>
    <row r="91">
      <c r="A91" s="17">
        <f>Catalogo!A91</f>
        <v/>
      </c>
      <c r="B91" s="17">
        <f>Catalogo!C91</f>
        <v/>
      </c>
      <c r="C91" s="19">
        <f>IF(Catalogo!H91="","(vazio)",Catalogo!H91)</f>
        <v/>
      </c>
      <c r="D91" s="19">
        <f>IF(AND(ISNUMBER(SEARCH(","&amp;D$1&amp;",",","&amp;SUBSTITUTE(Catalogo!$F91," ","")&amp;",")),Catalogo!$H91&lt;&gt;"N"),"●","")</f>
        <v/>
      </c>
      <c r="E91" s="19">
        <f>IF(AND(ISNUMBER(SEARCH(","&amp;E$1&amp;",",","&amp;SUBSTITUTE(Catalogo!$F91," ","")&amp;",")),Catalogo!$H91&lt;&gt;"N"),"●","")</f>
        <v/>
      </c>
      <c r="F91" s="19">
        <f>IF(AND(ISNUMBER(SEARCH(","&amp;F$1&amp;",",","&amp;SUBSTITUTE(Catalogo!$F91," ","")&amp;",")),Catalogo!$H91&lt;&gt;"N"),"●","")</f>
        <v/>
      </c>
      <c r="G91" s="19">
        <f>IF(AND(ISNUMBER(SEARCH(","&amp;G$1&amp;",",","&amp;SUBSTITUTE(Catalogo!$F91," ","")&amp;",")),Catalogo!$H91&lt;&gt;"N"),"●","")</f>
        <v/>
      </c>
      <c r="H91" s="19">
        <f>IF(AND(ISNUMBER(SEARCH(","&amp;H$1&amp;",",","&amp;SUBSTITUTE(Catalogo!$F91," ","")&amp;",")),Catalogo!$H91&lt;&gt;"N"),"●","")</f>
        <v/>
      </c>
      <c r="I91" s="19">
        <f>IF(AND(ISNUMBER(SEARCH(","&amp;I$1&amp;",",","&amp;SUBSTITUTE(Catalogo!$F91," ","")&amp;",")),Catalogo!$H91&lt;&gt;"N"),"●","")</f>
        <v/>
      </c>
      <c r="J91" s="19">
        <f>IF(AND(ISNUMBER(SEARCH(","&amp;J$1&amp;",",","&amp;SUBSTITUTE(Catalogo!$F91," ","")&amp;",")),Catalogo!$H91&lt;&gt;"N"),"●","")</f>
        <v/>
      </c>
      <c r="K91" s="19">
        <f>IF(AND(ISNUMBER(SEARCH(","&amp;K$1&amp;",",","&amp;SUBSTITUTE(Catalogo!$F91," ","")&amp;",")),Catalogo!$H91&lt;&gt;"N"),"●","")</f>
        <v/>
      </c>
      <c r="L91" s="19">
        <f>IF(AND(ISNUMBER(SEARCH(","&amp;L$1&amp;",",","&amp;SUBSTITUTE(Catalogo!$F91," ","")&amp;",")),Catalogo!$H91&lt;&gt;"N"),"●","")</f>
        <v/>
      </c>
      <c r="M91" s="19">
        <f>IF(AND(ISNUMBER(SEARCH(","&amp;M$1&amp;",",","&amp;SUBSTITUTE(Catalogo!$F91," ","")&amp;",")),Catalogo!$H91&lt;&gt;"N"),"●","")</f>
        <v/>
      </c>
    </row>
    <row r="92">
      <c r="A92" s="17">
        <f>Catalogo!A92</f>
        <v/>
      </c>
      <c r="B92" s="17">
        <f>Catalogo!C92</f>
        <v/>
      </c>
      <c r="C92" s="19">
        <f>IF(Catalogo!H92="","(vazio)",Catalogo!H92)</f>
        <v/>
      </c>
      <c r="D92" s="19">
        <f>IF(AND(ISNUMBER(SEARCH(","&amp;D$1&amp;",",","&amp;SUBSTITUTE(Catalogo!$F92," ","")&amp;",")),Catalogo!$H92&lt;&gt;"N"),"●","")</f>
        <v/>
      </c>
      <c r="E92" s="19">
        <f>IF(AND(ISNUMBER(SEARCH(","&amp;E$1&amp;",",","&amp;SUBSTITUTE(Catalogo!$F92," ","")&amp;",")),Catalogo!$H92&lt;&gt;"N"),"●","")</f>
        <v/>
      </c>
      <c r="F92" s="19">
        <f>IF(AND(ISNUMBER(SEARCH(","&amp;F$1&amp;",",","&amp;SUBSTITUTE(Catalogo!$F92," ","")&amp;",")),Catalogo!$H92&lt;&gt;"N"),"●","")</f>
        <v/>
      </c>
      <c r="G92" s="19">
        <f>IF(AND(ISNUMBER(SEARCH(","&amp;G$1&amp;",",","&amp;SUBSTITUTE(Catalogo!$F92," ","")&amp;",")),Catalogo!$H92&lt;&gt;"N"),"●","")</f>
        <v/>
      </c>
      <c r="H92" s="19">
        <f>IF(AND(ISNUMBER(SEARCH(","&amp;H$1&amp;",",","&amp;SUBSTITUTE(Catalogo!$F92," ","")&amp;",")),Catalogo!$H92&lt;&gt;"N"),"●","")</f>
        <v/>
      </c>
      <c r="I92" s="19">
        <f>IF(AND(ISNUMBER(SEARCH(","&amp;I$1&amp;",",","&amp;SUBSTITUTE(Catalogo!$F92," ","")&amp;",")),Catalogo!$H92&lt;&gt;"N"),"●","")</f>
        <v/>
      </c>
      <c r="J92" s="19">
        <f>IF(AND(ISNUMBER(SEARCH(","&amp;J$1&amp;",",","&amp;SUBSTITUTE(Catalogo!$F92," ","")&amp;",")),Catalogo!$H92&lt;&gt;"N"),"●","")</f>
        <v/>
      </c>
      <c r="K92" s="19">
        <f>IF(AND(ISNUMBER(SEARCH(","&amp;K$1&amp;",",","&amp;SUBSTITUTE(Catalogo!$F92," ","")&amp;",")),Catalogo!$H92&lt;&gt;"N"),"●","")</f>
        <v/>
      </c>
      <c r="L92" s="19">
        <f>IF(AND(ISNUMBER(SEARCH(","&amp;L$1&amp;",",","&amp;SUBSTITUTE(Catalogo!$F92," ","")&amp;",")),Catalogo!$H92&lt;&gt;"N"),"●","")</f>
        <v/>
      </c>
      <c r="M92" s="19">
        <f>IF(AND(ISNUMBER(SEARCH(","&amp;M$1&amp;",",","&amp;SUBSTITUTE(Catalogo!$F92," ","")&amp;",")),Catalogo!$H92&lt;&gt;"N"),"●","")</f>
        <v/>
      </c>
    </row>
    <row r="93">
      <c r="A93" s="17">
        <f>Catalogo!A93</f>
        <v/>
      </c>
      <c r="B93" s="17">
        <f>Catalogo!C93</f>
        <v/>
      </c>
      <c r="C93" s="19">
        <f>IF(Catalogo!H93="","(vazio)",Catalogo!H93)</f>
        <v/>
      </c>
      <c r="D93" s="19">
        <f>IF(AND(ISNUMBER(SEARCH(","&amp;D$1&amp;",",","&amp;SUBSTITUTE(Catalogo!$F93," ","")&amp;",")),Catalogo!$H93&lt;&gt;"N"),"●","")</f>
        <v/>
      </c>
      <c r="E93" s="19">
        <f>IF(AND(ISNUMBER(SEARCH(","&amp;E$1&amp;",",","&amp;SUBSTITUTE(Catalogo!$F93," ","")&amp;",")),Catalogo!$H93&lt;&gt;"N"),"●","")</f>
        <v/>
      </c>
      <c r="F93" s="19">
        <f>IF(AND(ISNUMBER(SEARCH(","&amp;F$1&amp;",",","&amp;SUBSTITUTE(Catalogo!$F93," ","")&amp;",")),Catalogo!$H93&lt;&gt;"N"),"●","")</f>
        <v/>
      </c>
      <c r="G93" s="19">
        <f>IF(AND(ISNUMBER(SEARCH(","&amp;G$1&amp;",",","&amp;SUBSTITUTE(Catalogo!$F93," ","")&amp;",")),Catalogo!$H93&lt;&gt;"N"),"●","")</f>
        <v/>
      </c>
      <c r="H93" s="19">
        <f>IF(AND(ISNUMBER(SEARCH(","&amp;H$1&amp;",",","&amp;SUBSTITUTE(Catalogo!$F93," ","")&amp;",")),Catalogo!$H93&lt;&gt;"N"),"●","")</f>
        <v/>
      </c>
      <c r="I93" s="19">
        <f>IF(AND(ISNUMBER(SEARCH(","&amp;I$1&amp;",",","&amp;SUBSTITUTE(Catalogo!$F93," ","")&amp;",")),Catalogo!$H93&lt;&gt;"N"),"●","")</f>
        <v/>
      </c>
      <c r="J93" s="19">
        <f>IF(AND(ISNUMBER(SEARCH(","&amp;J$1&amp;",",","&amp;SUBSTITUTE(Catalogo!$F93," ","")&amp;",")),Catalogo!$H93&lt;&gt;"N"),"●","")</f>
        <v/>
      </c>
      <c r="K93" s="19">
        <f>IF(AND(ISNUMBER(SEARCH(","&amp;K$1&amp;",",","&amp;SUBSTITUTE(Catalogo!$F93," ","")&amp;",")),Catalogo!$H93&lt;&gt;"N"),"●","")</f>
        <v/>
      </c>
      <c r="L93" s="19">
        <f>IF(AND(ISNUMBER(SEARCH(","&amp;L$1&amp;",",","&amp;SUBSTITUTE(Catalogo!$F93," ","")&amp;",")),Catalogo!$H93&lt;&gt;"N"),"●","")</f>
        <v/>
      </c>
      <c r="M93" s="19">
        <f>IF(AND(ISNUMBER(SEARCH(","&amp;M$1&amp;",",","&amp;SUBSTITUTE(Catalogo!$F93," ","")&amp;",")),Catalogo!$H93&lt;&gt;"N"),"●","")</f>
        <v/>
      </c>
    </row>
    <row r="94">
      <c r="A94" s="17">
        <f>Catalogo!A94</f>
        <v/>
      </c>
      <c r="B94" s="17">
        <f>Catalogo!C94</f>
        <v/>
      </c>
      <c r="C94" s="19">
        <f>IF(Catalogo!H94="","(vazio)",Catalogo!H94)</f>
        <v/>
      </c>
      <c r="D94" s="19">
        <f>IF(AND(ISNUMBER(SEARCH(","&amp;D$1&amp;",",","&amp;SUBSTITUTE(Catalogo!$F94," ","")&amp;",")),Catalogo!$H94&lt;&gt;"N"),"●","")</f>
        <v/>
      </c>
      <c r="E94" s="19">
        <f>IF(AND(ISNUMBER(SEARCH(","&amp;E$1&amp;",",","&amp;SUBSTITUTE(Catalogo!$F94," ","")&amp;",")),Catalogo!$H94&lt;&gt;"N"),"●","")</f>
        <v/>
      </c>
      <c r="F94" s="19">
        <f>IF(AND(ISNUMBER(SEARCH(","&amp;F$1&amp;",",","&amp;SUBSTITUTE(Catalogo!$F94," ","")&amp;",")),Catalogo!$H94&lt;&gt;"N"),"●","")</f>
        <v/>
      </c>
      <c r="G94" s="19">
        <f>IF(AND(ISNUMBER(SEARCH(","&amp;G$1&amp;",",","&amp;SUBSTITUTE(Catalogo!$F94," ","")&amp;",")),Catalogo!$H94&lt;&gt;"N"),"●","")</f>
        <v/>
      </c>
      <c r="H94" s="19">
        <f>IF(AND(ISNUMBER(SEARCH(","&amp;H$1&amp;",",","&amp;SUBSTITUTE(Catalogo!$F94," ","")&amp;",")),Catalogo!$H94&lt;&gt;"N"),"●","")</f>
        <v/>
      </c>
      <c r="I94" s="19">
        <f>IF(AND(ISNUMBER(SEARCH(","&amp;I$1&amp;",",","&amp;SUBSTITUTE(Catalogo!$F94," ","")&amp;",")),Catalogo!$H94&lt;&gt;"N"),"●","")</f>
        <v/>
      </c>
      <c r="J94" s="19">
        <f>IF(AND(ISNUMBER(SEARCH(","&amp;J$1&amp;",",","&amp;SUBSTITUTE(Catalogo!$F94," ","")&amp;",")),Catalogo!$H94&lt;&gt;"N"),"●","")</f>
        <v/>
      </c>
      <c r="K94" s="19">
        <f>IF(AND(ISNUMBER(SEARCH(","&amp;K$1&amp;",",","&amp;SUBSTITUTE(Catalogo!$F94," ","")&amp;",")),Catalogo!$H94&lt;&gt;"N"),"●","")</f>
        <v/>
      </c>
      <c r="L94" s="19">
        <f>IF(AND(ISNUMBER(SEARCH(","&amp;L$1&amp;",",","&amp;SUBSTITUTE(Catalogo!$F94," ","")&amp;",")),Catalogo!$H94&lt;&gt;"N"),"●","")</f>
        <v/>
      </c>
      <c r="M94" s="19">
        <f>IF(AND(ISNUMBER(SEARCH(","&amp;M$1&amp;",",","&amp;SUBSTITUTE(Catalogo!$F94," ","")&amp;",")),Catalogo!$H94&lt;&gt;"N"),"●","")</f>
        <v/>
      </c>
    </row>
    <row r="95">
      <c r="A95" s="17">
        <f>Catalogo!A95</f>
        <v/>
      </c>
      <c r="B95" s="17">
        <f>Catalogo!C95</f>
        <v/>
      </c>
      <c r="C95" s="19">
        <f>IF(Catalogo!H95="","(vazio)",Catalogo!H95)</f>
        <v/>
      </c>
      <c r="D95" s="19">
        <f>IF(AND(ISNUMBER(SEARCH(","&amp;D$1&amp;",",","&amp;SUBSTITUTE(Catalogo!$F95," ","")&amp;",")),Catalogo!$H95&lt;&gt;"N"),"●","")</f>
        <v/>
      </c>
      <c r="E95" s="19">
        <f>IF(AND(ISNUMBER(SEARCH(","&amp;E$1&amp;",",","&amp;SUBSTITUTE(Catalogo!$F95," ","")&amp;",")),Catalogo!$H95&lt;&gt;"N"),"●","")</f>
        <v/>
      </c>
      <c r="F95" s="19">
        <f>IF(AND(ISNUMBER(SEARCH(","&amp;F$1&amp;",",","&amp;SUBSTITUTE(Catalogo!$F95," ","")&amp;",")),Catalogo!$H95&lt;&gt;"N"),"●","")</f>
        <v/>
      </c>
      <c r="G95" s="19">
        <f>IF(AND(ISNUMBER(SEARCH(","&amp;G$1&amp;",",","&amp;SUBSTITUTE(Catalogo!$F95," ","")&amp;",")),Catalogo!$H95&lt;&gt;"N"),"●","")</f>
        <v/>
      </c>
      <c r="H95" s="19">
        <f>IF(AND(ISNUMBER(SEARCH(","&amp;H$1&amp;",",","&amp;SUBSTITUTE(Catalogo!$F95," ","")&amp;",")),Catalogo!$H95&lt;&gt;"N"),"●","")</f>
        <v/>
      </c>
      <c r="I95" s="19">
        <f>IF(AND(ISNUMBER(SEARCH(","&amp;I$1&amp;",",","&amp;SUBSTITUTE(Catalogo!$F95," ","")&amp;",")),Catalogo!$H95&lt;&gt;"N"),"●","")</f>
        <v/>
      </c>
      <c r="J95" s="19">
        <f>IF(AND(ISNUMBER(SEARCH(","&amp;J$1&amp;",",","&amp;SUBSTITUTE(Catalogo!$F95," ","")&amp;",")),Catalogo!$H95&lt;&gt;"N"),"●","")</f>
        <v/>
      </c>
      <c r="K95" s="19">
        <f>IF(AND(ISNUMBER(SEARCH(","&amp;K$1&amp;",",","&amp;SUBSTITUTE(Catalogo!$F95," ","")&amp;",")),Catalogo!$H95&lt;&gt;"N"),"●","")</f>
        <v/>
      </c>
      <c r="L95" s="19">
        <f>IF(AND(ISNUMBER(SEARCH(","&amp;L$1&amp;",",","&amp;SUBSTITUTE(Catalogo!$F95," ","")&amp;",")),Catalogo!$H95&lt;&gt;"N"),"●","")</f>
        <v/>
      </c>
      <c r="M95" s="19">
        <f>IF(AND(ISNUMBER(SEARCH(","&amp;M$1&amp;",",","&amp;SUBSTITUTE(Catalogo!$F95," ","")&amp;",")),Catalogo!$H95&lt;&gt;"N"),"●","")</f>
        <v/>
      </c>
    </row>
    <row r="96">
      <c r="A96" s="17">
        <f>Catalogo!A96</f>
        <v/>
      </c>
      <c r="B96" s="17">
        <f>Catalogo!C96</f>
        <v/>
      </c>
      <c r="C96" s="19">
        <f>IF(Catalogo!H96="","(vazio)",Catalogo!H96)</f>
        <v/>
      </c>
      <c r="D96" s="19">
        <f>IF(AND(ISNUMBER(SEARCH(","&amp;D$1&amp;",",","&amp;SUBSTITUTE(Catalogo!$F96," ","")&amp;",")),Catalogo!$H96&lt;&gt;"N"),"●","")</f>
        <v/>
      </c>
      <c r="E96" s="19">
        <f>IF(AND(ISNUMBER(SEARCH(","&amp;E$1&amp;",",","&amp;SUBSTITUTE(Catalogo!$F96," ","")&amp;",")),Catalogo!$H96&lt;&gt;"N"),"●","")</f>
        <v/>
      </c>
      <c r="F96" s="19">
        <f>IF(AND(ISNUMBER(SEARCH(","&amp;F$1&amp;",",","&amp;SUBSTITUTE(Catalogo!$F96," ","")&amp;",")),Catalogo!$H96&lt;&gt;"N"),"●","")</f>
        <v/>
      </c>
      <c r="G96" s="19">
        <f>IF(AND(ISNUMBER(SEARCH(","&amp;G$1&amp;",",","&amp;SUBSTITUTE(Catalogo!$F96," ","")&amp;",")),Catalogo!$H96&lt;&gt;"N"),"●","")</f>
        <v/>
      </c>
      <c r="H96" s="19">
        <f>IF(AND(ISNUMBER(SEARCH(","&amp;H$1&amp;",",","&amp;SUBSTITUTE(Catalogo!$F96," ","")&amp;",")),Catalogo!$H96&lt;&gt;"N"),"●","")</f>
        <v/>
      </c>
      <c r="I96" s="19">
        <f>IF(AND(ISNUMBER(SEARCH(","&amp;I$1&amp;",",","&amp;SUBSTITUTE(Catalogo!$F96," ","")&amp;",")),Catalogo!$H96&lt;&gt;"N"),"●","")</f>
        <v/>
      </c>
      <c r="J96" s="19">
        <f>IF(AND(ISNUMBER(SEARCH(","&amp;J$1&amp;",",","&amp;SUBSTITUTE(Catalogo!$F96," ","")&amp;",")),Catalogo!$H96&lt;&gt;"N"),"●","")</f>
        <v/>
      </c>
      <c r="K96" s="19">
        <f>IF(AND(ISNUMBER(SEARCH(","&amp;K$1&amp;",",","&amp;SUBSTITUTE(Catalogo!$F96," ","")&amp;",")),Catalogo!$H96&lt;&gt;"N"),"●","")</f>
        <v/>
      </c>
      <c r="L96" s="19">
        <f>IF(AND(ISNUMBER(SEARCH(","&amp;L$1&amp;",",","&amp;SUBSTITUTE(Catalogo!$F96," ","")&amp;",")),Catalogo!$H96&lt;&gt;"N"),"●","")</f>
        <v/>
      </c>
      <c r="M96" s="19">
        <f>IF(AND(ISNUMBER(SEARCH(","&amp;M$1&amp;",",","&amp;SUBSTITUTE(Catalogo!$F96," ","")&amp;",")),Catalogo!$H96&lt;&gt;"N"),"●","")</f>
        <v/>
      </c>
    </row>
    <row r="97">
      <c r="A97" s="17">
        <f>Catalogo!A97</f>
        <v/>
      </c>
      <c r="B97" s="17">
        <f>Catalogo!C97</f>
        <v/>
      </c>
      <c r="C97" s="19">
        <f>IF(Catalogo!H97="","(vazio)",Catalogo!H97)</f>
        <v/>
      </c>
      <c r="D97" s="19">
        <f>IF(AND(ISNUMBER(SEARCH(","&amp;D$1&amp;",",","&amp;SUBSTITUTE(Catalogo!$F97," ","")&amp;",")),Catalogo!$H97&lt;&gt;"N"),"●","")</f>
        <v/>
      </c>
      <c r="E97" s="19">
        <f>IF(AND(ISNUMBER(SEARCH(","&amp;E$1&amp;",",","&amp;SUBSTITUTE(Catalogo!$F97," ","")&amp;",")),Catalogo!$H97&lt;&gt;"N"),"●","")</f>
        <v/>
      </c>
      <c r="F97" s="19">
        <f>IF(AND(ISNUMBER(SEARCH(","&amp;F$1&amp;",",","&amp;SUBSTITUTE(Catalogo!$F97," ","")&amp;",")),Catalogo!$H97&lt;&gt;"N"),"●","")</f>
        <v/>
      </c>
      <c r="G97" s="19">
        <f>IF(AND(ISNUMBER(SEARCH(","&amp;G$1&amp;",",","&amp;SUBSTITUTE(Catalogo!$F97," ","")&amp;",")),Catalogo!$H97&lt;&gt;"N"),"●","")</f>
        <v/>
      </c>
      <c r="H97" s="19">
        <f>IF(AND(ISNUMBER(SEARCH(","&amp;H$1&amp;",",","&amp;SUBSTITUTE(Catalogo!$F97," ","")&amp;",")),Catalogo!$H97&lt;&gt;"N"),"●","")</f>
        <v/>
      </c>
      <c r="I97" s="19">
        <f>IF(AND(ISNUMBER(SEARCH(","&amp;I$1&amp;",",","&amp;SUBSTITUTE(Catalogo!$F97," ","")&amp;",")),Catalogo!$H97&lt;&gt;"N"),"●","")</f>
        <v/>
      </c>
      <c r="J97" s="19">
        <f>IF(AND(ISNUMBER(SEARCH(","&amp;J$1&amp;",",","&amp;SUBSTITUTE(Catalogo!$F97," ","")&amp;",")),Catalogo!$H97&lt;&gt;"N"),"●","")</f>
        <v/>
      </c>
      <c r="K97" s="19">
        <f>IF(AND(ISNUMBER(SEARCH(","&amp;K$1&amp;",",","&amp;SUBSTITUTE(Catalogo!$F97," ","")&amp;",")),Catalogo!$H97&lt;&gt;"N"),"●","")</f>
        <v/>
      </c>
      <c r="L97" s="19">
        <f>IF(AND(ISNUMBER(SEARCH(","&amp;L$1&amp;",",","&amp;SUBSTITUTE(Catalogo!$F97," ","")&amp;",")),Catalogo!$H97&lt;&gt;"N"),"●","")</f>
        <v/>
      </c>
      <c r="M97" s="19">
        <f>IF(AND(ISNUMBER(SEARCH(","&amp;M$1&amp;",",","&amp;SUBSTITUTE(Catalogo!$F97," ","")&amp;",")),Catalogo!$H97&lt;&gt;"N"),"●","")</f>
        <v/>
      </c>
    </row>
    <row r="98">
      <c r="A98" s="17">
        <f>Catalogo!A98</f>
        <v/>
      </c>
      <c r="B98" s="17">
        <f>Catalogo!C98</f>
        <v/>
      </c>
      <c r="C98" s="19">
        <f>IF(Catalogo!H98="","(vazio)",Catalogo!H98)</f>
        <v/>
      </c>
      <c r="D98" s="19">
        <f>IF(AND(ISNUMBER(SEARCH(","&amp;D$1&amp;",",","&amp;SUBSTITUTE(Catalogo!$F98," ","")&amp;",")),Catalogo!$H98&lt;&gt;"N"),"●","")</f>
        <v/>
      </c>
      <c r="E98" s="19">
        <f>IF(AND(ISNUMBER(SEARCH(","&amp;E$1&amp;",",","&amp;SUBSTITUTE(Catalogo!$F98," ","")&amp;",")),Catalogo!$H98&lt;&gt;"N"),"●","")</f>
        <v/>
      </c>
      <c r="F98" s="19">
        <f>IF(AND(ISNUMBER(SEARCH(","&amp;F$1&amp;",",","&amp;SUBSTITUTE(Catalogo!$F98," ","")&amp;",")),Catalogo!$H98&lt;&gt;"N"),"●","")</f>
        <v/>
      </c>
      <c r="G98" s="19">
        <f>IF(AND(ISNUMBER(SEARCH(","&amp;G$1&amp;",",","&amp;SUBSTITUTE(Catalogo!$F98," ","")&amp;",")),Catalogo!$H98&lt;&gt;"N"),"●","")</f>
        <v/>
      </c>
      <c r="H98" s="19">
        <f>IF(AND(ISNUMBER(SEARCH(","&amp;H$1&amp;",",","&amp;SUBSTITUTE(Catalogo!$F98," ","")&amp;",")),Catalogo!$H98&lt;&gt;"N"),"●","")</f>
        <v/>
      </c>
      <c r="I98" s="19">
        <f>IF(AND(ISNUMBER(SEARCH(","&amp;I$1&amp;",",","&amp;SUBSTITUTE(Catalogo!$F98," ","")&amp;",")),Catalogo!$H98&lt;&gt;"N"),"●","")</f>
        <v/>
      </c>
      <c r="J98" s="19">
        <f>IF(AND(ISNUMBER(SEARCH(","&amp;J$1&amp;",",","&amp;SUBSTITUTE(Catalogo!$F98," ","")&amp;",")),Catalogo!$H98&lt;&gt;"N"),"●","")</f>
        <v/>
      </c>
      <c r="K98" s="19">
        <f>IF(AND(ISNUMBER(SEARCH(","&amp;K$1&amp;",",","&amp;SUBSTITUTE(Catalogo!$F98," ","")&amp;",")),Catalogo!$H98&lt;&gt;"N"),"●","")</f>
        <v/>
      </c>
      <c r="L98" s="19">
        <f>IF(AND(ISNUMBER(SEARCH(","&amp;L$1&amp;",",","&amp;SUBSTITUTE(Catalogo!$F98," ","")&amp;",")),Catalogo!$H98&lt;&gt;"N"),"●","")</f>
        <v/>
      </c>
      <c r="M98" s="19">
        <f>IF(AND(ISNUMBER(SEARCH(","&amp;M$1&amp;",",","&amp;SUBSTITUTE(Catalogo!$F98," ","")&amp;",")),Catalogo!$H98&lt;&gt;"N"),"●","")</f>
        <v/>
      </c>
    </row>
    <row r="99">
      <c r="A99" s="17">
        <f>Catalogo!A99</f>
        <v/>
      </c>
      <c r="B99" s="17">
        <f>Catalogo!C99</f>
        <v/>
      </c>
      <c r="C99" s="19">
        <f>IF(Catalogo!H99="","(vazio)",Catalogo!H99)</f>
        <v/>
      </c>
      <c r="D99" s="19">
        <f>IF(AND(ISNUMBER(SEARCH(","&amp;D$1&amp;",",","&amp;SUBSTITUTE(Catalogo!$F99," ","")&amp;",")),Catalogo!$H99&lt;&gt;"N"),"●","")</f>
        <v/>
      </c>
      <c r="E99" s="19">
        <f>IF(AND(ISNUMBER(SEARCH(","&amp;E$1&amp;",",","&amp;SUBSTITUTE(Catalogo!$F99," ","")&amp;",")),Catalogo!$H99&lt;&gt;"N"),"●","")</f>
        <v/>
      </c>
      <c r="F99" s="19">
        <f>IF(AND(ISNUMBER(SEARCH(","&amp;F$1&amp;",",","&amp;SUBSTITUTE(Catalogo!$F99," ","")&amp;",")),Catalogo!$H99&lt;&gt;"N"),"●","")</f>
        <v/>
      </c>
      <c r="G99" s="19">
        <f>IF(AND(ISNUMBER(SEARCH(","&amp;G$1&amp;",",","&amp;SUBSTITUTE(Catalogo!$F99," ","")&amp;",")),Catalogo!$H99&lt;&gt;"N"),"●","")</f>
        <v/>
      </c>
      <c r="H99" s="19">
        <f>IF(AND(ISNUMBER(SEARCH(","&amp;H$1&amp;",",","&amp;SUBSTITUTE(Catalogo!$F99," ","")&amp;",")),Catalogo!$H99&lt;&gt;"N"),"●","")</f>
        <v/>
      </c>
      <c r="I99" s="19">
        <f>IF(AND(ISNUMBER(SEARCH(","&amp;I$1&amp;",",","&amp;SUBSTITUTE(Catalogo!$F99," ","")&amp;",")),Catalogo!$H99&lt;&gt;"N"),"●","")</f>
        <v/>
      </c>
      <c r="J99" s="19">
        <f>IF(AND(ISNUMBER(SEARCH(","&amp;J$1&amp;",",","&amp;SUBSTITUTE(Catalogo!$F99," ","")&amp;",")),Catalogo!$H99&lt;&gt;"N"),"●","")</f>
        <v/>
      </c>
      <c r="K99" s="19">
        <f>IF(AND(ISNUMBER(SEARCH(","&amp;K$1&amp;",",","&amp;SUBSTITUTE(Catalogo!$F99," ","")&amp;",")),Catalogo!$H99&lt;&gt;"N"),"●","")</f>
        <v/>
      </c>
      <c r="L99" s="19">
        <f>IF(AND(ISNUMBER(SEARCH(","&amp;L$1&amp;",",","&amp;SUBSTITUTE(Catalogo!$F99," ","")&amp;",")),Catalogo!$H99&lt;&gt;"N"),"●","")</f>
        <v/>
      </c>
      <c r="M99" s="19">
        <f>IF(AND(ISNUMBER(SEARCH(","&amp;M$1&amp;",",","&amp;SUBSTITUTE(Catalogo!$F99," ","")&amp;",")),Catalogo!$H99&lt;&gt;"N"),"●","")</f>
        <v/>
      </c>
    </row>
    <row r="100">
      <c r="A100" s="17">
        <f>Catalogo!A100</f>
        <v/>
      </c>
      <c r="B100" s="17">
        <f>Catalogo!C100</f>
        <v/>
      </c>
      <c r="C100" s="19">
        <f>IF(Catalogo!H100="","(vazio)",Catalogo!H100)</f>
        <v/>
      </c>
      <c r="D100" s="19">
        <f>IF(AND(ISNUMBER(SEARCH(","&amp;D$1&amp;",",","&amp;SUBSTITUTE(Catalogo!$F100," ","")&amp;",")),Catalogo!$H100&lt;&gt;"N"),"●","")</f>
        <v/>
      </c>
      <c r="E100" s="19">
        <f>IF(AND(ISNUMBER(SEARCH(","&amp;E$1&amp;",",","&amp;SUBSTITUTE(Catalogo!$F100," ","")&amp;",")),Catalogo!$H100&lt;&gt;"N"),"●","")</f>
        <v/>
      </c>
      <c r="F100" s="19">
        <f>IF(AND(ISNUMBER(SEARCH(","&amp;F$1&amp;",",","&amp;SUBSTITUTE(Catalogo!$F100," ","")&amp;",")),Catalogo!$H100&lt;&gt;"N"),"●","")</f>
        <v/>
      </c>
      <c r="G100" s="19">
        <f>IF(AND(ISNUMBER(SEARCH(","&amp;G$1&amp;",",","&amp;SUBSTITUTE(Catalogo!$F100," ","")&amp;",")),Catalogo!$H100&lt;&gt;"N"),"●","")</f>
        <v/>
      </c>
      <c r="H100" s="19">
        <f>IF(AND(ISNUMBER(SEARCH(","&amp;H$1&amp;",",","&amp;SUBSTITUTE(Catalogo!$F100," ","")&amp;",")),Catalogo!$H100&lt;&gt;"N"),"●","")</f>
        <v/>
      </c>
      <c r="I100" s="19">
        <f>IF(AND(ISNUMBER(SEARCH(","&amp;I$1&amp;",",","&amp;SUBSTITUTE(Catalogo!$F100," ","")&amp;",")),Catalogo!$H100&lt;&gt;"N"),"●","")</f>
        <v/>
      </c>
      <c r="J100" s="19">
        <f>IF(AND(ISNUMBER(SEARCH(","&amp;J$1&amp;",",","&amp;SUBSTITUTE(Catalogo!$F100," ","")&amp;",")),Catalogo!$H100&lt;&gt;"N"),"●","")</f>
        <v/>
      </c>
      <c r="K100" s="19">
        <f>IF(AND(ISNUMBER(SEARCH(","&amp;K$1&amp;",",","&amp;SUBSTITUTE(Catalogo!$F100," ","")&amp;",")),Catalogo!$H100&lt;&gt;"N"),"●","")</f>
        <v/>
      </c>
      <c r="L100" s="19">
        <f>IF(AND(ISNUMBER(SEARCH(","&amp;L$1&amp;",",","&amp;SUBSTITUTE(Catalogo!$F100," ","")&amp;",")),Catalogo!$H100&lt;&gt;"N"),"●","")</f>
        <v/>
      </c>
      <c r="M100" s="19">
        <f>IF(AND(ISNUMBER(SEARCH(","&amp;M$1&amp;",",","&amp;SUBSTITUTE(Catalogo!$F100," ","")&amp;",")),Catalogo!$H100&lt;&gt;"N"),"●","")</f>
        <v/>
      </c>
    </row>
    <row r="101">
      <c r="A101" s="17">
        <f>Catalogo!A101</f>
        <v/>
      </c>
      <c r="B101" s="17">
        <f>Catalogo!C101</f>
        <v/>
      </c>
      <c r="C101" s="19">
        <f>IF(Catalogo!H101="","(vazio)",Catalogo!H101)</f>
        <v/>
      </c>
      <c r="D101" s="19">
        <f>IF(AND(ISNUMBER(SEARCH(","&amp;D$1&amp;",",","&amp;SUBSTITUTE(Catalogo!$F101," ","")&amp;",")),Catalogo!$H101&lt;&gt;"N"),"●","")</f>
        <v/>
      </c>
      <c r="E101" s="19">
        <f>IF(AND(ISNUMBER(SEARCH(","&amp;E$1&amp;",",","&amp;SUBSTITUTE(Catalogo!$F101," ","")&amp;",")),Catalogo!$H101&lt;&gt;"N"),"●","")</f>
        <v/>
      </c>
      <c r="F101" s="19">
        <f>IF(AND(ISNUMBER(SEARCH(","&amp;F$1&amp;",",","&amp;SUBSTITUTE(Catalogo!$F101," ","")&amp;",")),Catalogo!$H101&lt;&gt;"N"),"●","")</f>
        <v/>
      </c>
      <c r="G101" s="19">
        <f>IF(AND(ISNUMBER(SEARCH(","&amp;G$1&amp;",",","&amp;SUBSTITUTE(Catalogo!$F101," ","")&amp;",")),Catalogo!$H101&lt;&gt;"N"),"●","")</f>
        <v/>
      </c>
      <c r="H101" s="19">
        <f>IF(AND(ISNUMBER(SEARCH(","&amp;H$1&amp;",",","&amp;SUBSTITUTE(Catalogo!$F101," ","")&amp;",")),Catalogo!$H101&lt;&gt;"N"),"●","")</f>
        <v/>
      </c>
      <c r="I101" s="19">
        <f>IF(AND(ISNUMBER(SEARCH(","&amp;I$1&amp;",",","&amp;SUBSTITUTE(Catalogo!$F101," ","")&amp;",")),Catalogo!$H101&lt;&gt;"N"),"●","")</f>
        <v/>
      </c>
      <c r="J101" s="19">
        <f>IF(AND(ISNUMBER(SEARCH(","&amp;J$1&amp;",",","&amp;SUBSTITUTE(Catalogo!$F101," ","")&amp;",")),Catalogo!$H101&lt;&gt;"N"),"●","")</f>
        <v/>
      </c>
      <c r="K101" s="19">
        <f>IF(AND(ISNUMBER(SEARCH(","&amp;K$1&amp;",",","&amp;SUBSTITUTE(Catalogo!$F101," ","")&amp;",")),Catalogo!$H101&lt;&gt;"N"),"●","")</f>
        <v/>
      </c>
      <c r="L101" s="19">
        <f>IF(AND(ISNUMBER(SEARCH(","&amp;L$1&amp;",",","&amp;SUBSTITUTE(Catalogo!$F101," ","")&amp;",")),Catalogo!$H101&lt;&gt;"N"),"●","")</f>
        <v/>
      </c>
      <c r="M101" s="19">
        <f>IF(AND(ISNUMBER(SEARCH(","&amp;M$1&amp;",",","&amp;SUBSTITUTE(Catalogo!$F101," ","")&amp;",")),Catalogo!$H101&lt;&gt;"N"),"●","")</f>
        <v/>
      </c>
    </row>
    <row r="102">
      <c r="A102" s="17">
        <f>Catalogo!A102</f>
        <v/>
      </c>
      <c r="B102" s="17">
        <f>Catalogo!C102</f>
        <v/>
      </c>
      <c r="C102" s="19">
        <f>IF(Catalogo!H102="","(vazio)",Catalogo!H102)</f>
        <v/>
      </c>
      <c r="D102" s="19">
        <f>IF(AND(ISNUMBER(SEARCH(","&amp;D$1&amp;",",","&amp;SUBSTITUTE(Catalogo!$F102," ","")&amp;",")),Catalogo!$H102&lt;&gt;"N"),"●","")</f>
        <v/>
      </c>
      <c r="E102" s="19">
        <f>IF(AND(ISNUMBER(SEARCH(","&amp;E$1&amp;",",","&amp;SUBSTITUTE(Catalogo!$F102," ","")&amp;",")),Catalogo!$H102&lt;&gt;"N"),"●","")</f>
        <v/>
      </c>
      <c r="F102" s="19">
        <f>IF(AND(ISNUMBER(SEARCH(","&amp;F$1&amp;",",","&amp;SUBSTITUTE(Catalogo!$F102," ","")&amp;",")),Catalogo!$H102&lt;&gt;"N"),"●","")</f>
        <v/>
      </c>
      <c r="G102" s="19">
        <f>IF(AND(ISNUMBER(SEARCH(","&amp;G$1&amp;",",","&amp;SUBSTITUTE(Catalogo!$F102," ","")&amp;",")),Catalogo!$H102&lt;&gt;"N"),"●","")</f>
        <v/>
      </c>
      <c r="H102" s="19">
        <f>IF(AND(ISNUMBER(SEARCH(","&amp;H$1&amp;",",","&amp;SUBSTITUTE(Catalogo!$F102," ","")&amp;",")),Catalogo!$H102&lt;&gt;"N"),"●","")</f>
        <v/>
      </c>
      <c r="I102" s="19">
        <f>IF(AND(ISNUMBER(SEARCH(","&amp;I$1&amp;",",","&amp;SUBSTITUTE(Catalogo!$F102," ","")&amp;",")),Catalogo!$H102&lt;&gt;"N"),"●","")</f>
        <v/>
      </c>
      <c r="J102" s="19">
        <f>IF(AND(ISNUMBER(SEARCH(","&amp;J$1&amp;",",","&amp;SUBSTITUTE(Catalogo!$F102," ","")&amp;",")),Catalogo!$H102&lt;&gt;"N"),"●","")</f>
        <v/>
      </c>
      <c r="K102" s="19">
        <f>IF(AND(ISNUMBER(SEARCH(","&amp;K$1&amp;",",","&amp;SUBSTITUTE(Catalogo!$F102," ","")&amp;",")),Catalogo!$H102&lt;&gt;"N"),"●","")</f>
        <v/>
      </c>
      <c r="L102" s="19">
        <f>IF(AND(ISNUMBER(SEARCH(","&amp;L$1&amp;",",","&amp;SUBSTITUTE(Catalogo!$F102," ","")&amp;",")),Catalogo!$H102&lt;&gt;"N"),"●","")</f>
        <v/>
      </c>
      <c r="M102" s="19">
        <f>IF(AND(ISNUMBER(SEARCH(","&amp;M$1&amp;",",","&amp;SUBSTITUTE(Catalogo!$F102," ","")&amp;",")),Catalogo!$H102&lt;&gt;"N"),"●","")</f>
        <v/>
      </c>
    </row>
    <row r="103">
      <c r="A103" s="17">
        <f>Catalogo!A103</f>
        <v/>
      </c>
      <c r="B103" s="17">
        <f>Catalogo!C103</f>
        <v/>
      </c>
      <c r="C103" s="19">
        <f>IF(Catalogo!H103="","(vazio)",Catalogo!H103)</f>
        <v/>
      </c>
      <c r="D103" s="19">
        <f>IF(AND(ISNUMBER(SEARCH(","&amp;D$1&amp;",",","&amp;SUBSTITUTE(Catalogo!$F103," ","")&amp;",")),Catalogo!$H103&lt;&gt;"N"),"●","")</f>
        <v/>
      </c>
      <c r="E103" s="19">
        <f>IF(AND(ISNUMBER(SEARCH(","&amp;E$1&amp;",",","&amp;SUBSTITUTE(Catalogo!$F103," ","")&amp;",")),Catalogo!$H103&lt;&gt;"N"),"●","")</f>
        <v/>
      </c>
      <c r="F103" s="19">
        <f>IF(AND(ISNUMBER(SEARCH(","&amp;F$1&amp;",",","&amp;SUBSTITUTE(Catalogo!$F103," ","")&amp;",")),Catalogo!$H103&lt;&gt;"N"),"●","")</f>
        <v/>
      </c>
      <c r="G103" s="19">
        <f>IF(AND(ISNUMBER(SEARCH(","&amp;G$1&amp;",",","&amp;SUBSTITUTE(Catalogo!$F103," ","")&amp;",")),Catalogo!$H103&lt;&gt;"N"),"●","")</f>
        <v/>
      </c>
      <c r="H103" s="19">
        <f>IF(AND(ISNUMBER(SEARCH(","&amp;H$1&amp;",",","&amp;SUBSTITUTE(Catalogo!$F103," ","")&amp;",")),Catalogo!$H103&lt;&gt;"N"),"●","")</f>
        <v/>
      </c>
      <c r="I103" s="19">
        <f>IF(AND(ISNUMBER(SEARCH(","&amp;I$1&amp;",",","&amp;SUBSTITUTE(Catalogo!$F103," ","")&amp;",")),Catalogo!$H103&lt;&gt;"N"),"●","")</f>
        <v/>
      </c>
      <c r="J103" s="19">
        <f>IF(AND(ISNUMBER(SEARCH(","&amp;J$1&amp;",",","&amp;SUBSTITUTE(Catalogo!$F103," ","")&amp;",")),Catalogo!$H103&lt;&gt;"N"),"●","")</f>
        <v/>
      </c>
      <c r="K103" s="19">
        <f>IF(AND(ISNUMBER(SEARCH(","&amp;K$1&amp;",",","&amp;SUBSTITUTE(Catalogo!$F103," ","")&amp;",")),Catalogo!$H103&lt;&gt;"N"),"●","")</f>
        <v/>
      </c>
      <c r="L103" s="19">
        <f>IF(AND(ISNUMBER(SEARCH(","&amp;L$1&amp;",",","&amp;SUBSTITUTE(Catalogo!$F103," ","")&amp;",")),Catalogo!$H103&lt;&gt;"N"),"●","")</f>
        <v/>
      </c>
      <c r="M103" s="19">
        <f>IF(AND(ISNUMBER(SEARCH(","&amp;M$1&amp;",",","&amp;SUBSTITUTE(Catalogo!$F103," ","")&amp;",")),Catalogo!$H103&lt;&gt;"N"),"●","")</f>
        <v/>
      </c>
    </row>
    <row r="104">
      <c r="A104" s="17">
        <f>Catalogo!A104</f>
        <v/>
      </c>
      <c r="B104" s="17">
        <f>Catalogo!C104</f>
        <v/>
      </c>
      <c r="C104" s="19">
        <f>IF(Catalogo!H104="","(vazio)",Catalogo!H104)</f>
        <v/>
      </c>
      <c r="D104" s="19">
        <f>IF(AND(ISNUMBER(SEARCH(","&amp;D$1&amp;",",","&amp;SUBSTITUTE(Catalogo!$F104," ","")&amp;",")),Catalogo!$H104&lt;&gt;"N"),"●","")</f>
        <v/>
      </c>
      <c r="E104" s="19">
        <f>IF(AND(ISNUMBER(SEARCH(","&amp;E$1&amp;",",","&amp;SUBSTITUTE(Catalogo!$F104," ","")&amp;",")),Catalogo!$H104&lt;&gt;"N"),"●","")</f>
        <v/>
      </c>
      <c r="F104" s="19">
        <f>IF(AND(ISNUMBER(SEARCH(","&amp;F$1&amp;",",","&amp;SUBSTITUTE(Catalogo!$F104," ","")&amp;",")),Catalogo!$H104&lt;&gt;"N"),"●","")</f>
        <v/>
      </c>
      <c r="G104" s="19">
        <f>IF(AND(ISNUMBER(SEARCH(","&amp;G$1&amp;",",","&amp;SUBSTITUTE(Catalogo!$F104," ","")&amp;",")),Catalogo!$H104&lt;&gt;"N"),"●","")</f>
        <v/>
      </c>
      <c r="H104" s="19">
        <f>IF(AND(ISNUMBER(SEARCH(","&amp;H$1&amp;",",","&amp;SUBSTITUTE(Catalogo!$F104," ","")&amp;",")),Catalogo!$H104&lt;&gt;"N"),"●","")</f>
        <v/>
      </c>
      <c r="I104" s="19">
        <f>IF(AND(ISNUMBER(SEARCH(","&amp;I$1&amp;",",","&amp;SUBSTITUTE(Catalogo!$F104," ","")&amp;",")),Catalogo!$H104&lt;&gt;"N"),"●","")</f>
        <v/>
      </c>
      <c r="J104" s="19">
        <f>IF(AND(ISNUMBER(SEARCH(","&amp;J$1&amp;",",","&amp;SUBSTITUTE(Catalogo!$F104," ","")&amp;",")),Catalogo!$H104&lt;&gt;"N"),"●","")</f>
        <v/>
      </c>
      <c r="K104" s="19">
        <f>IF(AND(ISNUMBER(SEARCH(","&amp;K$1&amp;",",","&amp;SUBSTITUTE(Catalogo!$F104," ","")&amp;",")),Catalogo!$H104&lt;&gt;"N"),"●","")</f>
        <v/>
      </c>
      <c r="L104" s="19">
        <f>IF(AND(ISNUMBER(SEARCH(","&amp;L$1&amp;",",","&amp;SUBSTITUTE(Catalogo!$F104," ","")&amp;",")),Catalogo!$H104&lt;&gt;"N"),"●","")</f>
        <v/>
      </c>
      <c r="M104" s="19">
        <f>IF(AND(ISNUMBER(SEARCH(","&amp;M$1&amp;",",","&amp;SUBSTITUTE(Catalogo!$F104," ","")&amp;",")),Catalogo!$H104&lt;&gt;"N"),"●","")</f>
        <v/>
      </c>
    </row>
    <row r="105">
      <c r="A105" s="17">
        <f>Catalogo!A105</f>
        <v/>
      </c>
      <c r="B105" s="17">
        <f>Catalogo!C105</f>
        <v/>
      </c>
      <c r="C105" s="19">
        <f>IF(Catalogo!H105="","(vazio)",Catalogo!H105)</f>
        <v/>
      </c>
      <c r="D105" s="19">
        <f>IF(AND(ISNUMBER(SEARCH(","&amp;D$1&amp;",",","&amp;SUBSTITUTE(Catalogo!$F105," ","")&amp;",")),Catalogo!$H105&lt;&gt;"N"),"●","")</f>
        <v/>
      </c>
      <c r="E105" s="19">
        <f>IF(AND(ISNUMBER(SEARCH(","&amp;E$1&amp;",",","&amp;SUBSTITUTE(Catalogo!$F105," ","")&amp;",")),Catalogo!$H105&lt;&gt;"N"),"●","")</f>
        <v/>
      </c>
      <c r="F105" s="19">
        <f>IF(AND(ISNUMBER(SEARCH(","&amp;F$1&amp;",",","&amp;SUBSTITUTE(Catalogo!$F105," ","")&amp;",")),Catalogo!$H105&lt;&gt;"N"),"●","")</f>
        <v/>
      </c>
      <c r="G105" s="19">
        <f>IF(AND(ISNUMBER(SEARCH(","&amp;G$1&amp;",",","&amp;SUBSTITUTE(Catalogo!$F105," ","")&amp;",")),Catalogo!$H105&lt;&gt;"N"),"●","")</f>
        <v/>
      </c>
      <c r="H105" s="19">
        <f>IF(AND(ISNUMBER(SEARCH(","&amp;H$1&amp;",",","&amp;SUBSTITUTE(Catalogo!$F105," ","")&amp;",")),Catalogo!$H105&lt;&gt;"N"),"●","")</f>
        <v/>
      </c>
      <c r="I105" s="19">
        <f>IF(AND(ISNUMBER(SEARCH(","&amp;I$1&amp;",",","&amp;SUBSTITUTE(Catalogo!$F105," ","")&amp;",")),Catalogo!$H105&lt;&gt;"N"),"●","")</f>
        <v/>
      </c>
      <c r="J105" s="19">
        <f>IF(AND(ISNUMBER(SEARCH(","&amp;J$1&amp;",",","&amp;SUBSTITUTE(Catalogo!$F105," ","")&amp;",")),Catalogo!$H105&lt;&gt;"N"),"●","")</f>
        <v/>
      </c>
      <c r="K105" s="19">
        <f>IF(AND(ISNUMBER(SEARCH(","&amp;K$1&amp;",",","&amp;SUBSTITUTE(Catalogo!$F105," ","")&amp;",")),Catalogo!$H105&lt;&gt;"N"),"●","")</f>
        <v/>
      </c>
      <c r="L105" s="19">
        <f>IF(AND(ISNUMBER(SEARCH(","&amp;L$1&amp;",",","&amp;SUBSTITUTE(Catalogo!$F105," ","")&amp;",")),Catalogo!$H105&lt;&gt;"N"),"●","")</f>
        <v/>
      </c>
      <c r="M105" s="19">
        <f>IF(AND(ISNUMBER(SEARCH(","&amp;M$1&amp;",",","&amp;SUBSTITUTE(Catalogo!$F105," ","")&amp;",")),Catalogo!$H105&lt;&gt;"N"),"●","")</f>
        <v/>
      </c>
    </row>
    <row r="106">
      <c r="A106" s="17">
        <f>Catalogo!A106</f>
        <v/>
      </c>
      <c r="B106" s="17">
        <f>Catalogo!C106</f>
        <v/>
      </c>
      <c r="C106" s="19">
        <f>IF(Catalogo!H106="","(vazio)",Catalogo!H106)</f>
        <v/>
      </c>
      <c r="D106" s="19">
        <f>IF(AND(ISNUMBER(SEARCH(","&amp;D$1&amp;",",","&amp;SUBSTITUTE(Catalogo!$F106," ","")&amp;",")),Catalogo!$H106&lt;&gt;"N"),"●","")</f>
        <v/>
      </c>
      <c r="E106" s="19">
        <f>IF(AND(ISNUMBER(SEARCH(","&amp;E$1&amp;",",","&amp;SUBSTITUTE(Catalogo!$F106," ","")&amp;",")),Catalogo!$H106&lt;&gt;"N"),"●","")</f>
        <v/>
      </c>
      <c r="F106" s="19">
        <f>IF(AND(ISNUMBER(SEARCH(","&amp;F$1&amp;",",","&amp;SUBSTITUTE(Catalogo!$F106," ","")&amp;",")),Catalogo!$H106&lt;&gt;"N"),"●","")</f>
        <v/>
      </c>
      <c r="G106" s="19">
        <f>IF(AND(ISNUMBER(SEARCH(","&amp;G$1&amp;",",","&amp;SUBSTITUTE(Catalogo!$F106," ","")&amp;",")),Catalogo!$H106&lt;&gt;"N"),"●","")</f>
        <v/>
      </c>
      <c r="H106" s="19">
        <f>IF(AND(ISNUMBER(SEARCH(","&amp;H$1&amp;",",","&amp;SUBSTITUTE(Catalogo!$F106," ","")&amp;",")),Catalogo!$H106&lt;&gt;"N"),"●","")</f>
        <v/>
      </c>
      <c r="I106" s="19">
        <f>IF(AND(ISNUMBER(SEARCH(","&amp;I$1&amp;",",","&amp;SUBSTITUTE(Catalogo!$F106," ","")&amp;",")),Catalogo!$H106&lt;&gt;"N"),"●","")</f>
        <v/>
      </c>
      <c r="J106" s="19">
        <f>IF(AND(ISNUMBER(SEARCH(","&amp;J$1&amp;",",","&amp;SUBSTITUTE(Catalogo!$F106," ","")&amp;",")),Catalogo!$H106&lt;&gt;"N"),"●","")</f>
        <v/>
      </c>
      <c r="K106" s="19">
        <f>IF(AND(ISNUMBER(SEARCH(","&amp;K$1&amp;",",","&amp;SUBSTITUTE(Catalogo!$F106," ","")&amp;",")),Catalogo!$H106&lt;&gt;"N"),"●","")</f>
        <v/>
      </c>
      <c r="L106" s="19">
        <f>IF(AND(ISNUMBER(SEARCH(","&amp;L$1&amp;",",","&amp;SUBSTITUTE(Catalogo!$F106," ","")&amp;",")),Catalogo!$H106&lt;&gt;"N"),"●","")</f>
        <v/>
      </c>
      <c r="M106" s="19">
        <f>IF(AND(ISNUMBER(SEARCH(","&amp;M$1&amp;",",","&amp;SUBSTITUTE(Catalogo!$F106," ","")&amp;",")),Catalogo!$H106&lt;&gt;"N"),"●","")</f>
        <v/>
      </c>
    </row>
    <row r="107">
      <c r="A107" s="17">
        <f>Catalogo!A107</f>
        <v/>
      </c>
      <c r="B107" s="17">
        <f>Catalogo!C107</f>
        <v/>
      </c>
      <c r="C107" s="19">
        <f>IF(Catalogo!H107="","(vazio)",Catalogo!H107)</f>
        <v/>
      </c>
      <c r="D107" s="19">
        <f>IF(AND(ISNUMBER(SEARCH(","&amp;D$1&amp;",",","&amp;SUBSTITUTE(Catalogo!$F107," ","")&amp;",")),Catalogo!$H107&lt;&gt;"N"),"●","")</f>
        <v/>
      </c>
      <c r="E107" s="19">
        <f>IF(AND(ISNUMBER(SEARCH(","&amp;E$1&amp;",",","&amp;SUBSTITUTE(Catalogo!$F107," ","")&amp;",")),Catalogo!$H107&lt;&gt;"N"),"●","")</f>
        <v/>
      </c>
      <c r="F107" s="19">
        <f>IF(AND(ISNUMBER(SEARCH(","&amp;F$1&amp;",",","&amp;SUBSTITUTE(Catalogo!$F107," ","")&amp;",")),Catalogo!$H107&lt;&gt;"N"),"●","")</f>
        <v/>
      </c>
      <c r="G107" s="19">
        <f>IF(AND(ISNUMBER(SEARCH(","&amp;G$1&amp;",",","&amp;SUBSTITUTE(Catalogo!$F107," ","")&amp;",")),Catalogo!$H107&lt;&gt;"N"),"●","")</f>
        <v/>
      </c>
      <c r="H107" s="19">
        <f>IF(AND(ISNUMBER(SEARCH(","&amp;H$1&amp;",",","&amp;SUBSTITUTE(Catalogo!$F107," ","")&amp;",")),Catalogo!$H107&lt;&gt;"N"),"●","")</f>
        <v/>
      </c>
      <c r="I107" s="19">
        <f>IF(AND(ISNUMBER(SEARCH(","&amp;I$1&amp;",",","&amp;SUBSTITUTE(Catalogo!$F107," ","")&amp;",")),Catalogo!$H107&lt;&gt;"N"),"●","")</f>
        <v/>
      </c>
      <c r="J107" s="19">
        <f>IF(AND(ISNUMBER(SEARCH(","&amp;J$1&amp;",",","&amp;SUBSTITUTE(Catalogo!$F107," ","")&amp;",")),Catalogo!$H107&lt;&gt;"N"),"●","")</f>
        <v/>
      </c>
      <c r="K107" s="19">
        <f>IF(AND(ISNUMBER(SEARCH(","&amp;K$1&amp;",",","&amp;SUBSTITUTE(Catalogo!$F107," ","")&amp;",")),Catalogo!$H107&lt;&gt;"N"),"●","")</f>
        <v/>
      </c>
      <c r="L107" s="19">
        <f>IF(AND(ISNUMBER(SEARCH(","&amp;L$1&amp;",",","&amp;SUBSTITUTE(Catalogo!$F107," ","")&amp;",")),Catalogo!$H107&lt;&gt;"N"),"●","")</f>
        <v/>
      </c>
      <c r="M107" s="19">
        <f>IF(AND(ISNUMBER(SEARCH(","&amp;M$1&amp;",",","&amp;SUBSTITUTE(Catalogo!$F107," ","")&amp;",")),Catalogo!$H107&lt;&gt;"N"),"●","")</f>
        <v/>
      </c>
    </row>
    <row r="108">
      <c r="A108" s="17">
        <f>Catalogo!A108</f>
        <v/>
      </c>
      <c r="B108" s="17">
        <f>Catalogo!C108</f>
        <v/>
      </c>
      <c r="C108" s="19">
        <f>IF(Catalogo!H108="","(vazio)",Catalogo!H108)</f>
        <v/>
      </c>
      <c r="D108" s="19">
        <f>IF(AND(ISNUMBER(SEARCH(","&amp;D$1&amp;",",","&amp;SUBSTITUTE(Catalogo!$F108," ","")&amp;",")),Catalogo!$H108&lt;&gt;"N"),"●","")</f>
        <v/>
      </c>
      <c r="E108" s="19">
        <f>IF(AND(ISNUMBER(SEARCH(","&amp;E$1&amp;",",","&amp;SUBSTITUTE(Catalogo!$F108," ","")&amp;",")),Catalogo!$H108&lt;&gt;"N"),"●","")</f>
        <v/>
      </c>
      <c r="F108" s="19">
        <f>IF(AND(ISNUMBER(SEARCH(","&amp;F$1&amp;",",","&amp;SUBSTITUTE(Catalogo!$F108," ","")&amp;",")),Catalogo!$H108&lt;&gt;"N"),"●","")</f>
        <v/>
      </c>
      <c r="G108" s="19">
        <f>IF(AND(ISNUMBER(SEARCH(","&amp;G$1&amp;",",","&amp;SUBSTITUTE(Catalogo!$F108," ","")&amp;",")),Catalogo!$H108&lt;&gt;"N"),"●","")</f>
        <v/>
      </c>
      <c r="H108" s="19">
        <f>IF(AND(ISNUMBER(SEARCH(","&amp;H$1&amp;",",","&amp;SUBSTITUTE(Catalogo!$F108," ","")&amp;",")),Catalogo!$H108&lt;&gt;"N"),"●","")</f>
        <v/>
      </c>
      <c r="I108" s="19">
        <f>IF(AND(ISNUMBER(SEARCH(","&amp;I$1&amp;",",","&amp;SUBSTITUTE(Catalogo!$F108," ","")&amp;",")),Catalogo!$H108&lt;&gt;"N"),"●","")</f>
        <v/>
      </c>
      <c r="J108" s="19">
        <f>IF(AND(ISNUMBER(SEARCH(","&amp;J$1&amp;",",","&amp;SUBSTITUTE(Catalogo!$F108," ","")&amp;",")),Catalogo!$H108&lt;&gt;"N"),"●","")</f>
        <v/>
      </c>
      <c r="K108" s="19">
        <f>IF(AND(ISNUMBER(SEARCH(","&amp;K$1&amp;",",","&amp;SUBSTITUTE(Catalogo!$F108," ","")&amp;",")),Catalogo!$H108&lt;&gt;"N"),"●","")</f>
        <v/>
      </c>
      <c r="L108" s="19">
        <f>IF(AND(ISNUMBER(SEARCH(","&amp;L$1&amp;",",","&amp;SUBSTITUTE(Catalogo!$F108," ","")&amp;",")),Catalogo!$H108&lt;&gt;"N"),"●","")</f>
        <v/>
      </c>
      <c r="M108" s="19">
        <f>IF(AND(ISNUMBER(SEARCH(","&amp;M$1&amp;",",","&amp;SUBSTITUTE(Catalogo!$F108," ","")&amp;",")),Catalogo!$H108&lt;&gt;"N"),"●","")</f>
        <v/>
      </c>
    </row>
    <row r="109">
      <c r="A109" s="17">
        <f>Catalogo!A109</f>
        <v/>
      </c>
      <c r="B109" s="17">
        <f>Catalogo!C109</f>
        <v/>
      </c>
      <c r="C109" s="19">
        <f>IF(Catalogo!H109="","(vazio)",Catalogo!H109)</f>
        <v/>
      </c>
      <c r="D109" s="19">
        <f>IF(AND(ISNUMBER(SEARCH(","&amp;D$1&amp;",",","&amp;SUBSTITUTE(Catalogo!$F109," ","")&amp;",")),Catalogo!$H109&lt;&gt;"N"),"●","")</f>
        <v/>
      </c>
      <c r="E109" s="19">
        <f>IF(AND(ISNUMBER(SEARCH(","&amp;E$1&amp;",",","&amp;SUBSTITUTE(Catalogo!$F109," ","")&amp;",")),Catalogo!$H109&lt;&gt;"N"),"●","")</f>
        <v/>
      </c>
      <c r="F109" s="19">
        <f>IF(AND(ISNUMBER(SEARCH(","&amp;F$1&amp;",",","&amp;SUBSTITUTE(Catalogo!$F109," ","")&amp;",")),Catalogo!$H109&lt;&gt;"N"),"●","")</f>
        <v/>
      </c>
      <c r="G109" s="19">
        <f>IF(AND(ISNUMBER(SEARCH(","&amp;G$1&amp;",",","&amp;SUBSTITUTE(Catalogo!$F109," ","")&amp;",")),Catalogo!$H109&lt;&gt;"N"),"●","")</f>
        <v/>
      </c>
      <c r="H109" s="19">
        <f>IF(AND(ISNUMBER(SEARCH(","&amp;H$1&amp;",",","&amp;SUBSTITUTE(Catalogo!$F109," ","")&amp;",")),Catalogo!$H109&lt;&gt;"N"),"●","")</f>
        <v/>
      </c>
      <c r="I109" s="19">
        <f>IF(AND(ISNUMBER(SEARCH(","&amp;I$1&amp;",",","&amp;SUBSTITUTE(Catalogo!$F109," ","")&amp;",")),Catalogo!$H109&lt;&gt;"N"),"●","")</f>
        <v/>
      </c>
      <c r="J109" s="19">
        <f>IF(AND(ISNUMBER(SEARCH(","&amp;J$1&amp;",",","&amp;SUBSTITUTE(Catalogo!$F109," ","")&amp;",")),Catalogo!$H109&lt;&gt;"N"),"●","")</f>
        <v/>
      </c>
      <c r="K109" s="19">
        <f>IF(AND(ISNUMBER(SEARCH(","&amp;K$1&amp;",",","&amp;SUBSTITUTE(Catalogo!$F109," ","")&amp;",")),Catalogo!$H109&lt;&gt;"N"),"●","")</f>
        <v/>
      </c>
      <c r="L109" s="19">
        <f>IF(AND(ISNUMBER(SEARCH(","&amp;L$1&amp;",",","&amp;SUBSTITUTE(Catalogo!$F109," ","")&amp;",")),Catalogo!$H109&lt;&gt;"N"),"●","")</f>
        <v/>
      </c>
      <c r="M109" s="19">
        <f>IF(AND(ISNUMBER(SEARCH(","&amp;M$1&amp;",",","&amp;SUBSTITUTE(Catalogo!$F109," ","")&amp;",")),Catalogo!$H109&lt;&gt;"N"),"●","")</f>
        <v/>
      </c>
    </row>
    <row r="110">
      <c r="A110" s="17">
        <f>Catalogo!A110</f>
        <v/>
      </c>
      <c r="B110" s="17">
        <f>Catalogo!C110</f>
        <v/>
      </c>
      <c r="C110" s="19">
        <f>IF(Catalogo!H110="","(vazio)",Catalogo!H110)</f>
        <v/>
      </c>
      <c r="D110" s="19">
        <f>IF(AND(ISNUMBER(SEARCH(","&amp;D$1&amp;",",","&amp;SUBSTITUTE(Catalogo!$F110," ","")&amp;",")),Catalogo!$H110&lt;&gt;"N"),"●","")</f>
        <v/>
      </c>
      <c r="E110" s="19">
        <f>IF(AND(ISNUMBER(SEARCH(","&amp;E$1&amp;",",","&amp;SUBSTITUTE(Catalogo!$F110," ","")&amp;",")),Catalogo!$H110&lt;&gt;"N"),"●","")</f>
        <v/>
      </c>
      <c r="F110" s="19">
        <f>IF(AND(ISNUMBER(SEARCH(","&amp;F$1&amp;",",","&amp;SUBSTITUTE(Catalogo!$F110," ","")&amp;",")),Catalogo!$H110&lt;&gt;"N"),"●","")</f>
        <v/>
      </c>
      <c r="G110" s="19">
        <f>IF(AND(ISNUMBER(SEARCH(","&amp;G$1&amp;",",","&amp;SUBSTITUTE(Catalogo!$F110," ","")&amp;",")),Catalogo!$H110&lt;&gt;"N"),"●","")</f>
        <v/>
      </c>
      <c r="H110" s="19">
        <f>IF(AND(ISNUMBER(SEARCH(","&amp;H$1&amp;",",","&amp;SUBSTITUTE(Catalogo!$F110," ","")&amp;",")),Catalogo!$H110&lt;&gt;"N"),"●","")</f>
        <v/>
      </c>
      <c r="I110" s="19">
        <f>IF(AND(ISNUMBER(SEARCH(","&amp;I$1&amp;",",","&amp;SUBSTITUTE(Catalogo!$F110," ","")&amp;",")),Catalogo!$H110&lt;&gt;"N"),"●","")</f>
        <v/>
      </c>
      <c r="J110" s="19">
        <f>IF(AND(ISNUMBER(SEARCH(","&amp;J$1&amp;",",","&amp;SUBSTITUTE(Catalogo!$F110," ","")&amp;",")),Catalogo!$H110&lt;&gt;"N"),"●","")</f>
        <v/>
      </c>
      <c r="K110" s="19">
        <f>IF(AND(ISNUMBER(SEARCH(","&amp;K$1&amp;",",","&amp;SUBSTITUTE(Catalogo!$F110," ","")&amp;",")),Catalogo!$H110&lt;&gt;"N"),"●","")</f>
        <v/>
      </c>
      <c r="L110" s="19">
        <f>IF(AND(ISNUMBER(SEARCH(","&amp;L$1&amp;",",","&amp;SUBSTITUTE(Catalogo!$F110," ","")&amp;",")),Catalogo!$H110&lt;&gt;"N"),"●","")</f>
        <v/>
      </c>
      <c r="M110" s="19">
        <f>IF(AND(ISNUMBER(SEARCH(","&amp;M$1&amp;",",","&amp;SUBSTITUTE(Catalogo!$F110," ","")&amp;",")),Catalogo!$H110&lt;&gt;"N"),"●","")</f>
        <v/>
      </c>
    </row>
    <row r="111">
      <c r="A111" s="17">
        <f>Catalogo!A111</f>
        <v/>
      </c>
      <c r="B111" s="17">
        <f>Catalogo!C111</f>
        <v/>
      </c>
      <c r="C111" s="19">
        <f>IF(Catalogo!H111="","(vazio)",Catalogo!H111)</f>
        <v/>
      </c>
      <c r="D111" s="19">
        <f>IF(AND(ISNUMBER(SEARCH(","&amp;D$1&amp;",",","&amp;SUBSTITUTE(Catalogo!$F111," ","")&amp;",")),Catalogo!$H111&lt;&gt;"N"),"●","")</f>
        <v/>
      </c>
      <c r="E111" s="19">
        <f>IF(AND(ISNUMBER(SEARCH(","&amp;E$1&amp;",",","&amp;SUBSTITUTE(Catalogo!$F111," ","")&amp;",")),Catalogo!$H111&lt;&gt;"N"),"●","")</f>
        <v/>
      </c>
      <c r="F111" s="19">
        <f>IF(AND(ISNUMBER(SEARCH(","&amp;F$1&amp;",",","&amp;SUBSTITUTE(Catalogo!$F111," ","")&amp;",")),Catalogo!$H111&lt;&gt;"N"),"●","")</f>
        <v/>
      </c>
      <c r="G111" s="19">
        <f>IF(AND(ISNUMBER(SEARCH(","&amp;G$1&amp;",",","&amp;SUBSTITUTE(Catalogo!$F111," ","")&amp;",")),Catalogo!$H111&lt;&gt;"N"),"●","")</f>
        <v/>
      </c>
      <c r="H111" s="19">
        <f>IF(AND(ISNUMBER(SEARCH(","&amp;H$1&amp;",",","&amp;SUBSTITUTE(Catalogo!$F111," ","")&amp;",")),Catalogo!$H111&lt;&gt;"N"),"●","")</f>
        <v/>
      </c>
      <c r="I111" s="19">
        <f>IF(AND(ISNUMBER(SEARCH(","&amp;I$1&amp;",",","&amp;SUBSTITUTE(Catalogo!$F111," ","")&amp;",")),Catalogo!$H111&lt;&gt;"N"),"●","")</f>
        <v/>
      </c>
      <c r="J111" s="19">
        <f>IF(AND(ISNUMBER(SEARCH(","&amp;J$1&amp;",",","&amp;SUBSTITUTE(Catalogo!$F111," ","")&amp;",")),Catalogo!$H111&lt;&gt;"N"),"●","")</f>
        <v/>
      </c>
      <c r="K111" s="19">
        <f>IF(AND(ISNUMBER(SEARCH(","&amp;K$1&amp;",",","&amp;SUBSTITUTE(Catalogo!$F111," ","")&amp;",")),Catalogo!$H111&lt;&gt;"N"),"●","")</f>
        <v/>
      </c>
      <c r="L111" s="19">
        <f>IF(AND(ISNUMBER(SEARCH(","&amp;L$1&amp;",",","&amp;SUBSTITUTE(Catalogo!$F111," ","")&amp;",")),Catalogo!$H111&lt;&gt;"N"),"●","")</f>
        <v/>
      </c>
      <c r="M111" s="19">
        <f>IF(AND(ISNUMBER(SEARCH(","&amp;M$1&amp;",",","&amp;SUBSTITUTE(Catalogo!$F111," ","")&amp;",")),Catalogo!$H111&lt;&gt;"N"),"●","")</f>
        <v/>
      </c>
    </row>
    <row r="112">
      <c r="A112" s="17">
        <f>Catalogo!A112</f>
        <v/>
      </c>
      <c r="B112" s="17">
        <f>Catalogo!C112</f>
        <v/>
      </c>
      <c r="C112" s="19">
        <f>IF(Catalogo!H112="","(vazio)",Catalogo!H112)</f>
        <v/>
      </c>
      <c r="D112" s="19">
        <f>IF(AND(ISNUMBER(SEARCH(","&amp;D$1&amp;",",","&amp;SUBSTITUTE(Catalogo!$F112," ","")&amp;",")),Catalogo!$H112&lt;&gt;"N"),"●","")</f>
        <v/>
      </c>
      <c r="E112" s="19">
        <f>IF(AND(ISNUMBER(SEARCH(","&amp;E$1&amp;",",","&amp;SUBSTITUTE(Catalogo!$F112," ","")&amp;",")),Catalogo!$H112&lt;&gt;"N"),"●","")</f>
        <v/>
      </c>
      <c r="F112" s="19">
        <f>IF(AND(ISNUMBER(SEARCH(","&amp;F$1&amp;",",","&amp;SUBSTITUTE(Catalogo!$F112," ","")&amp;",")),Catalogo!$H112&lt;&gt;"N"),"●","")</f>
        <v/>
      </c>
      <c r="G112" s="19">
        <f>IF(AND(ISNUMBER(SEARCH(","&amp;G$1&amp;",",","&amp;SUBSTITUTE(Catalogo!$F112," ","")&amp;",")),Catalogo!$H112&lt;&gt;"N"),"●","")</f>
        <v/>
      </c>
      <c r="H112" s="19">
        <f>IF(AND(ISNUMBER(SEARCH(","&amp;H$1&amp;",",","&amp;SUBSTITUTE(Catalogo!$F112," ","")&amp;",")),Catalogo!$H112&lt;&gt;"N"),"●","")</f>
        <v/>
      </c>
      <c r="I112" s="19">
        <f>IF(AND(ISNUMBER(SEARCH(","&amp;I$1&amp;",",","&amp;SUBSTITUTE(Catalogo!$F112," ","")&amp;",")),Catalogo!$H112&lt;&gt;"N"),"●","")</f>
        <v/>
      </c>
      <c r="J112" s="19">
        <f>IF(AND(ISNUMBER(SEARCH(","&amp;J$1&amp;",",","&amp;SUBSTITUTE(Catalogo!$F112," ","")&amp;",")),Catalogo!$H112&lt;&gt;"N"),"●","")</f>
        <v/>
      </c>
      <c r="K112" s="19">
        <f>IF(AND(ISNUMBER(SEARCH(","&amp;K$1&amp;",",","&amp;SUBSTITUTE(Catalogo!$F112," ","")&amp;",")),Catalogo!$H112&lt;&gt;"N"),"●","")</f>
        <v/>
      </c>
      <c r="L112" s="19">
        <f>IF(AND(ISNUMBER(SEARCH(","&amp;L$1&amp;",",","&amp;SUBSTITUTE(Catalogo!$F112," ","")&amp;",")),Catalogo!$H112&lt;&gt;"N"),"●","")</f>
        <v/>
      </c>
      <c r="M112" s="19">
        <f>IF(AND(ISNUMBER(SEARCH(","&amp;M$1&amp;",",","&amp;SUBSTITUTE(Catalogo!$F112," ","")&amp;",")),Catalogo!$H112&lt;&gt;"N"),"●","")</f>
        <v/>
      </c>
    </row>
    <row r="113">
      <c r="A113" s="17">
        <f>Catalogo!A113</f>
        <v/>
      </c>
      <c r="B113" s="17">
        <f>Catalogo!C113</f>
        <v/>
      </c>
      <c r="C113" s="19">
        <f>IF(Catalogo!H113="","(vazio)",Catalogo!H113)</f>
        <v/>
      </c>
      <c r="D113" s="19">
        <f>IF(AND(ISNUMBER(SEARCH(","&amp;D$1&amp;",",","&amp;SUBSTITUTE(Catalogo!$F113," ","")&amp;",")),Catalogo!$H113&lt;&gt;"N"),"●","")</f>
        <v/>
      </c>
      <c r="E113" s="19">
        <f>IF(AND(ISNUMBER(SEARCH(","&amp;E$1&amp;",",","&amp;SUBSTITUTE(Catalogo!$F113," ","")&amp;",")),Catalogo!$H113&lt;&gt;"N"),"●","")</f>
        <v/>
      </c>
      <c r="F113" s="19">
        <f>IF(AND(ISNUMBER(SEARCH(","&amp;F$1&amp;",",","&amp;SUBSTITUTE(Catalogo!$F113," ","")&amp;",")),Catalogo!$H113&lt;&gt;"N"),"●","")</f>
        <v/>
      </c>
      <c r="G113" s="19">
        <f>IF(AND(ISNUMBER(SEARCH(","&amp;G$1&amp;",",","&amp;SUBSTITUTE(Catalogo!$F113," ","")&amp;",")),Catalogo!$H113&lt;&gt;"N"),"●","")</f>
        <v/>
      </c>
      <c r="H113" s="19">
        <f>IF(AND(ISNUMBER(SEARCH(","&amp;H$1&amp;",",","&amp;SUBSTITUTE(Catalogo!$F113," ","")&amp;",")),Catalogo!$H113&lt;&gt;"N"),"●","")</f>
        <v/>
      </c>
      <c r="I113" s="19">
        <f>IF(AND(ISNUMBER(SEARCH(","&amp;I$1&amp;",",","&amp;SUBSTITUTE(Catalogo!$F113," ","")&amp;",")),Catalogo!$H113&lt;&gt;"N"),"●","")</f>
        <v/>
      </c>
      <c r="J113" s="19">
        <f>IF(AND(ISNUMBER(SEARCH(","&amp;J$1&amp;",",","&amp;SUBSTITUTE(Catalogo!$F113," ","")&amp;",")),Catalogo!$H113&lt;&gt;"N"),"●","")</f>
        <v/>
      </c>
      <c r="K113" s="19">
        <f>IF(AND(ISNUMBER(SEARCH(","&amp;K$1&amp;",",","&amp;SUBSTITUTE(Catalogo!$F113," ","")&amp;",")),Catalogo!$H113&lt;&gt;"N"),"●","")</f>
        <v/>
      </c>
      <c r="L113" s="19">
        <f>IF(AND(ISNUMBER(SEARCH(","&amp;L$1&amp;",",","&amp;SUBSTITUTE(Catalogo!$F113," ","")&amp;",")),Catalogo!$H113&lt;&gt;"N"),"●","")</f>
        <v/>
      </c>
      <c r="M113" s="19">
        <f>IF(AND(ISNUMBER(SEARCH(","&amp;M$1&amp;",",","&amp;SUBSTITUTE(Catalogo!$F113," ","")&amp;",")),Catalogo!$H113&lt;&gt;"N"),"●","")</f>
        <v/>
      </c>
    </row>
    <row r="114">
      <c r="A114" s="17">
        <f>Catalogo!A114</f>
        <v/>
      </c>
      <c r="B114" s="17">
        <f>Catalogo!C114</f>
        <v/>
      </c>
      <c r="C114" s="19">
        <f>IF(Catalogo!H114="","(vazio)",Catalogo!H114)</f>
        <v/>
      </c>
      <c r="D114" s="19">
        <f>IF(AND(ISNUMBER(SEARCH(","&amp;D$1&amp;",",","&amp;SUBSTITUTE(Catalogo!$F114," ","")&amp;",")),Catalogo!$H114&lt;&gt;"N"),"●","")</f>
        <v/>
      </c>
      <c r="E114" s="19">
        <f>IF(AND(ISNUMBER(SEARCH(","&amp;E$1&amp;",",","&amp;SUBSTITUTE(Catalogo!$F114," ","")&amp;",")),Catalogo!$H114&lt;&gt;"N"),"●","")</f>
        <v/>
      </c>
      <c r="F114" s="19">
        <f>IF(AND(ISNUMBER(SEARCH(","&amp;F$1&amp;",",","&amp;SUBSTITUTE(Catalogo!$F114," ","")&amp;",")),Catalogo!$H114&lt;&gt;"N"),"●","")</f>
        <v/>
      </c>
      <c r="G114" s="19">
        <f>IF(AND(ISNUMBER(SEARCH(","&amp;G$1&amp;",",","&amp;SUBSTITUTE(Catalogo!$F114," ","")&amp;",")),Catalogo!$H114&lt;&gt;"N"),"●","")</f>
        <v/>
      </c>
      <c r="H114" s="19">
        <f>IF(AND(ISNUMBER(SEARCH(","&amp;H$1&amp;",",","&amp;SUBSTITUTE(Catalogo!$F114," ","")&amp;",")),Catalogo!$H114&lt;&gt;"N"),"●","")</f>
        <v/>
      </c>
      <c r="I114" s="19">
        <f>IF(AND(ISNUMBER(SEARCH(","&amp;I$1&amp;",",","&amp;SUBSTITUTE(Catalogo!$F114," ","")&amp;",")),Catalogo!$H114&lt;&gt;"N"),"●","")</f>
        <v/>
      </c>
      <c r="J114" s="19">
        <f>IF(AND(ISNUMBER(SEARCH(","&amp;J$1&amp;",",","&amp;SUBSTITUTE(Catalogo!$F114," ","")&amp;",")),Catalogo!$H114&lt;&gt;"N"),"●","")</f>
        <v/>
      </c>
      <c r="K114" s="19">
        <f>IF(AND(ISNUMBER(SEARCH(","&amp;K$1&amp;",",","&amp;SUBSTITUTE(Catalogo!$F114," ","")&amp;",")),Catalogo!$H114&lt;&gt;"N"),"●","")</f>
        <v/>
      </c>
      <c r="L114" s="19">
        <f>IF(AND(ISNUMBER(SEARCH(","&amp;L$1&amp;",",","&amp;SUBSTITUTE(Catalogo!$F114," ","")&amp;",")),Catalogo!$H114&lt;&gt;"N"),"●","")</f>
        <v/>
      </c>
      <c r="M114" s="19">
        <f>IF(AND(ISNUMBER(SEARCH(","&amp;M$1&amp;",",","&amp;SUBSTITUTE(Catalogo!$F114," ","")&amp;",")),Catalogo!$H114&lt;&gt;"N"),"●","")</f>
        <v/>
      </c>
    </row>
    <row r="115">
      <c r="A115" s="17">
        <f>Catalogo!A115</f>
        <v/>
      </c>
      <c r="B115" s="17">
        <f>Catalogo!C115</f>
        <v/>
      </c>
      <c r="C115" s="19">
        <f>IF(Catalogo!H115="","(vazio)",Catalogo!H115)</f>
        <v/>
      </c>
      <c r="D115" s="19">
        <f>IF(AND(ISNUMBER(SEARCH(","&amp;D$1&amp;",",","&amp;SUBSTITUTE(Catalogo!$F115," ","")&amp;",")),Catalogo!$H115&lt;&gt;"N"),"●","")</f>
        <v/>
      </c>
      <c r="E115" s="19">
        <f>IF(AND(ISNUMBER(SEARCH(","&amp;E$1&amp;",",","&amp;SUBSTITUTE(Catalogo!$F115," ","")&amp;",")),Catalogo!$H115&lt;&gt;"N"),"●","")</f>
        <v/>
      </c>
      <c r="F115" s="19">
        <f>IF(AND(ISNUMBER(SEARCH(","&amp;F$1&amp;",",","&amp;SUBSTITUTE(Catalogo!$F115," ","")&amp;",")),Catalogo!$H115&lt;&gt;"N"),"●","")</f>
        <v/>
      </c>
      <c r="G115" s="19">
        <f>IF(AND(ISNUMBER(SEARCH(","&amp;G$1&amp;",",","&amp;SUBSTITUTE(Catalogo!$F115," ","")&amp;",")),Catalogo!$H115&lt;&gt;"N"),"●","")</f>
        <v/>
      </c>
      <c r="H115" s="19">
        <f>IF(AND(ISNUMBER(SEARCH(","&amp;H$1&amp;",",","&amp;SUBSTITUTE(Catalogo!$F115," ","")&amp;",")),Catalogo!$H115&lt;&gt;"N"),"●","")</f>
        <v/>
      </c>
      <c r="I115" s="19">
        <f>IF(AND(ISNUMBER(SEARCH(","&amp;I$1&amp;",",","&amp;SUBSTITUTE(Catalogo!$F115," ","")&amp;",")),Catalogo!$H115&lt;&gt;"N"),"●","")</f>
        <v/>
      </c>
      <c r="J115" s="19">
        <f>IF(AND(ISNUMBER(SEARCH(","&amp;J$1&amp;",",","&amp;SUBSTITUTE(Catalogo!$F115," ","")&amp;",")),Catalogo!$H115&lt;&gt;"N"),"●","")</f>
        <v/>
      </c>
      <c r="K115" s="19">
        <f>IF(AND(ISNUMBER(SEARCH(","&amp;K$1&amp;",",","&amp;SUBSTITUTE(Catalogo!$F115," ","")&amp;",")),Catalogo!$H115&lt;&gt;"N"),"●","")</f>
        <v/>
      </c>
      <c r="L115" s="19">
        <f>IF(AND(ISNUMBER(SEARCH(","&amp;L$1&amp;",",","&amp;SUBSTITUTE(Catalogo!$F115," ","")&amp;",")),Catalogo!$H115&lt;&gt;"N"),"●","")</f>
        <v/>
      </c>
      <c r="M115" s="19">
        <f>IF(AND(ISNUMBER(SEARCH(","&amp;M$1&amp;",",","&amp;SUBSTITUTE(Catalogo!$F115," ","")&amp;",")),Catalogo!$H115&lt;&gt;"N"),"●","")</f>
        <v/>
      </c>
    </row>
    <row r="116">
      <c r="A116" s="17">
        <f>Catalogo!A116</f>
        <v/>
      </c>
      <c r="B116" s="17">
        <f>Catalogo!C116</f>
        <v/>
      </c>
      <c r="C116" s="19">
        <f>IF(Catalogo!H116="","(vazio)",Catalogo!H116)</f>
        <v/>
      </c>
      <c r="D116" s="19">
        <f>IF(AND(ISNUMBER(SEARCH(","&amp;D$1&amp;",",","&amp;SUBSTITUTE(Catalogo!$F116," ","")&amp;",")),Catalogo!$H116&lt;&gt;"N"),"●","")</f>
        <v/>
      </c>
      <c r="E116" s="19">
        <f>IF(AND(ISNUMBER(SEARCH(","&amp;E$1&amp;",",","&amp;SUBSTITUTE(Catalogo!$F116," ","")&amp;",")),Catalogo!$H116&lt;&gt;"N"),"●","")</f>
        <v/>
      </c>
      <c r="F116" s="19">
        <f>IF(AND(ISNUMBER(SEARCH(","&amp;F$1&amp;",",","&amp;SUBSTITUTE(Catalogo!$F116," ","")&amp;",")),Catalogo!$H116&lt;&gt;"N"),"●","")</f>
        <v/>
      </c>
      <c r="G116" s="19">
        <f>IF(AND(ISNUMBER(SEARCH(","&amp;G$1&amp;",",","&amp;SUBSTITUTE(Catalogo!$F116," ","")&amp;",")),Catalogo!$H116&lt;&gt;"N"),"●","")</f>
        <v/>
      </c>
      <c r="H116" s="19">
        <f>IF(AND(ISNUMBER(SEARCH(","&amp;H$1&amp;",",","&amp;SUBSTITUTE(Catalogo!$F116," ","")&amp;",")),Catalogo!$H116&lt;&gt;"N"),"●","")</f>
        <v/>
      </c>
      <c r="I116" s="19">
        <f>IF(AND(ISNUMBER(SEARCH(","&amp;I$1&amp;",",","&amp;SUBSTITUTE(Catalogo!$F116," ","")&amp;",")),Catalogo!$H116&lt;&gt;"N"),"●","")</f>
        <v/>
      </c>
      <c r="J116" s="19">
        <f>IF(AND(ISNUMBER(SEARCH(","&amp;J$1&amp;",",","&amp;SUBSTITUTE(Catalogo!$F116," ","")&amp;",")),Catalogo!$H116&lt;&gt;"N"),"●","")</f>
        <v/>
      </c>
      <c r="K116" s="19">
        <f>IF(AND(ISNUMBER(SEARCH(","&amp;K$1&amp;",",","&amp;SUBSTITUTE(Catalogo!$F116," ","")&amp;",")),Catalogo!$H116&lt;&gt;"N"),"●","")</f>
        <v/>
      </c>
      <c r="L116" s="19">
        <f>IF(AND(ISNUMBER(SEARCH(","&amp;L$1&amp;",",","&amp;SUBSTITUTE(Catalogo!$F116," ","")&amp;",")),Catalogo!$H116&lt;&gt;"N"),"●","")</f>
        <v/>
      </c>
      <c r="M116" s="19">
        <f>IF(AND(ISNUMBER(SEARCH(","&amp;M$1&amp;",",","&amp;SUBSTITUTE(Catalogo!$F116," ","")&amp;",")),Catalogo!$H116&lt;&gt;"N"),"●","")</f>
        <v/>
      </c>
    </row>
    <row r="117">
      <c r="A117" s="17">
        <f>Catalogo!A117</f>
        <v/>
      </c>
      <c r="B117" s="17">
        <f>Catalogo!C117</f>
        <v/>
      </c>
      <c r="C117" s="19">
        <f>IF(Catalogo!H117="","(vazio)",Catalogo!H117)</f>
        <v/>
      </c>
      <c r="D117" s="19">
        <f>IF(AND(ISNUMBER(SEARCH(","&amp;D$1&amp;",",","&amp;SUBSTITUTE(Catalogo!$F117," ","")&amp;",")),Catalogo!$H117&lt;&gt;"N"),"●","")</f>
        <v/>
      </c>
      <c r="E117" s="19">
        <f>IF(AND(ISNUMBER(SEARCH(","&amp;E$1&amp;",",","&amp;SUBSTITUTE(Catalogo!$F117," ","")&amp;",")),Catalogo!$H117&lt;&gt;"N"),"●","")</f>
        <v/>
      </c>
      <c r="F117" s="19">
        <f>IF(AND(ISNUMBER(SEARCH(","&amp;F$1&amp;",",","&amp;SUBSTITUTE(Catalogo!$F117," ","")&amp;",")),Catalogo!$H117&lt;&gt;"N"),"●","")</f>
        <v/>
      </c>
      <c r="G117" s="19">
        <f>IF(AND(ISNUMBER(SEARCH(","&amp;G$1&amp;",",","&amp;SUBSTITUTE(Catalogo!$F117," ","")&amp;",")),Catalogo!$H117&lt;&gt;"N"),"●","")</f>
        <v/>
      </c>
      <c r="H117" s="19">
        <f>IF(AND(ISNUMBER(SEARCH(","&amp;H$1&amp;",",","&amp;SUBSTITUTE(Catalogo!$F117," ","")&amp;",")),Catalogo!$H117&lt;&gt;"N"),"●","")</f>
        <v/>
      </c>
      <c r="I117" s="19">
        <f>IF(AND(ISNUMBER(SEARCH(","&amp;I$1&amp;",",","&amp;SUBSTITUTE(Catalogo!$F117," ","")&amp;",")),Catalogo!$H117&lt;&gt;"N"),"●","")</f>
        <v/>
      </c>
      <c r="J117" s="19">
        <f>IF(AND(ISNUMBER(SEARCH(","&amp;J$1&amp;",",","&amp;SUBSTITUTE(Catalogo!$F117," ","")&amp;",")),Catalogo!$H117&lt;&gt;"N"),"●","")</f>
        <v/>
      </c>
      <c r="K117" s="19">
        <f>IF(AND(ISNUMBER(SEARCH(","&amp;K$1&amp;",",","&amp;SUBSTITUTE(Catalogo!$F117," ","")&amp;",")),Catalogo!$H117&lt;&gt;"N"),"●","")</f>
        <v/>
      </c>
      <c r="L117" s="19">
        <f>IF(AND(ISNUMBER(SEARCH(","&amp;L$1&amp;",",","&amp;SUBSTITUTE(Catalogo!$F117," ","")&amp;",")),Catalogo!$H117&lt;&gt;"N"),"●","")</f>
        <v/>
      </c>
      <c r="M117" s="19">
        <f>IF(AND(ISNUMBER(SEARCH(","&amp;M$1&amp;",",","&amp;SUBSTITUTE(Catalogo!$F117," ","")&amp;",")),Catalogo!$H117&lt;&gt;"N"),"●","")</f>
        <v/>
      </c>
    </row>
    <row r="118">
      <c r="A118" s="17">
        <f>Catalogo!A118</f>
        <v/>
      </c>
      <c r="B118" s="17">
        <f>Catalogo!C118</f>
        <v/>
      </c>
      <c r="C118" s="19">
        <f>IF(Catalogo!H118="","(vazio)",Catalogo!H118)</f>
        <v/>
      </c>
      <c r="D118" s="19">
        <f>IF(AND(ISNUMBER(SEARCH(","&amp;D$1&amp;",",","&amp;SUBSTITUTE(Catalogo!$F118," ","")&amp;",")),Catalogo!$H118&lt;&gt;"N"),"●","")</f>
        <v/>
      </c>
      <c r="E118" s="19">
        <f>IF(AND(ISNUMBER(SEARCH(","&amp;E$1&amp;",",","&amp;SUBSTITUTE(Catalogo!$F118," ","")&amp;",")),Catalogo!$H118&lt;&gt;"N"),"●","")</f>
        <v/>
      </c>
      <c r="F118" s="19">
        <f>IF(AND(ISNUMBER(SEARCH(","&amp;F$1&amp;",",","&amp;SUBSTITUTE(Catalogo!$F118," ","")&amp;",")),Catalogo!$H118&lt;&gt;"N"),"●","")</f>
        <v/>
      </c>
      <c r="G118" s="19">
        <f>IF(AND(ISNUMBER(SEARCH(","&amp;G$1&amp;",",","&amp;SUBSTITUTE(Catalogo!$F118," ","")&amp;",")),Catalogo!$H118&lt;&gt;"N"),"●","")</f>
        <v/>
      </c>
      <c r="H118" s="19">
        <f>IF(AND(ISNUMBER(SEARCH(","&amp;H$1&amp;",",","&amp;SUBSTITUTE(Catalogo!$F118," ","")&amp;",")),Catalogo!$H118&lt;&gt;"N"),"●","")</f>
        <v/>
      </c>
      <c r="I118" s="19">
        <f>IF(AND(ISNUMBER(SEARCH(","&amp;I$1&amp;",",","&amp;SUBSTITUTE(Catalogo!$F118," ","")&amp;",")),Catalogo!$H118&lt;&gt;"N"),"●","")</f>
        <v/>
      </c>
      <c r="J118" s="19">
        <f>IF(AND(ISNUMBER(SEARCH(","&amp;J$1&amp;",",","&amp;SUBSTITUTE(Catalogo!$F118," ","")&amp;",")),Catalogo!$H118&lt;&gt;"N"),"●","")</f>
        <v/>
      </c>
      <c r="K118" s="19">
        <f>IF(AND(ISNUMBER(SEARCH(","&amp;K$1&amp;",",","&amp;SUBSTITUTE(Catalogo!$F118," ","")&amp;",")),Catalogo!$H118&lt;&gt;"N"),"●","")</f>
        <v/>
      </c>
      <c r="L118" s="19">
        <f>IF(AND(ISNUMBER(SEARCH(","&amp;L$1&amp;",",","&amp;SUBSTITUTE(Catalogo!$F118," ","")&amp;",")),Catalogo!$H118&lt;&gt;"N"),"●","")</f>
        <v/>
      </c>
      <c r="M118" s="19">
        <f>IF(AND(ISNUMBER(SEARCH(","&amp;M$1&amp;",",","&amp;SUBSTITUTE(Catalogo!$F118," ","")&amp;",")),Catalogo!$H118&lt;&gt;"N"),"●","")</f>
        <v/>
      </c>
    </row>
    <row r="119">
      <c r="A119" s="17">
        <f>Catalogo!A119</f>
        <v/>
      </c>
      <c r="B119" s="17">
        <f>Catalogo!C119</f>
        <v/>
      </c>
      <c r="C119" s="19">
        <f>IF(Catalogo!H119="","(vazio)",Catalogo!H119)</f>
        <v/>
      </c>
      <c r="D119" s="19">
        <f>IF(AND(ISNUMBER(SEARCH(","&amp;D$1&amp;",",","&amp;SUBSTITUTE(Catalogo!$F119," ","")&amp;",")),Catalogo!$H119&lt;&gt;"N"),"●","")</f>
        <v/>
      </c>
      <c r="E119" s="19">
        <f>IF(AND(ISNUMBER(SEARCH(","&amp;E$1&amp;",",","&amp;SUBSTITUTE(Catalogo!$F119," ","")&amp;",")),Catalogo!$H119&lt;&gt;"N"),"●","")</f>
        <v/>
      </c>
      <c r="F119" s="19">
        <f>IF(AND(ISNUMBER(SEARCH(","&amp;F$1&amp;",",","&amp;SUBSTITUTE(Catalogo!$F119," ","")&amp;",")),Catalogo!$H119&lt;&gt;"N"),"●","")</f>
        <v/>
      </c>
      <c r="G119" s="19">
        <f>IF(AND(ISNUMBER(SEARCH(","&amp;G$1&amp;",",","&amp;SUBSTITUTE(Catalogo!$F119," ","")&amp;",")),Catalogo!$H119&lt;&gt;"N"),"●","")</f>
        <v/>
      </c>
      <c r="H119" s="19">
        <f>IF(AND(ISNUMBER(SEARCH(","&amp;H$1&amp;",",","&amp;SUBSTITUTE(Catalogo!$F119," ","")&amp;",")),Catalogo!$H119&lt;&gt;"N"),"●","")</f>
        <v/>
      </c>
      <c r="I119" s="19">
        <f>IF(AND(ISNUMBER(SEARCH(","&amp;I$1&amp;",",","&amp;SUBSTITUTE(Catalogo!$F119," ","")&amp;",")),Catalogo!$H119&lt;&gt;"N"),"●","")</f>
        <v/>
      </c>
      <c r="J119" s="19">
        <f>IF(AND(ISNUMBER(SEARCH(","&amp;J$1&amp;",",","&amp;SUBSTITUTE(Catalogo!$F119," ","")&amp;",")),Catalogo!$H119&lt;&gt;"N"),"●","")</f>
        <v/>
      </c>
      <c r="K119" s="19">
        <f>IF(AND(ISNUMBER(SEARCH(","&amp;K$1&amp;",",","&amp;SUBSTITUTE(Catalogo!$F119," ","")&amp;",")),Catalogo!$H119&lt;&gt;"N"),"●","")</f>
        <v/>
      </c>
      <c r="L119" s="19">
        <f>IF(AND(ISNUMBER(SEARCH(","&amp;L$1&amp;",",","&amp;SUBSTITUTE(Catalogo!$F119," ","")&amp;",")),Catalogo!$H119&lt;&gt;"N"),"●","")</f>
        <v/>
      </c>
      <c r="M119" s="19">
        <f>IF(AND(ISNUMBER(SEARCH(","&amp;M$1&amp;",",","&amp;SUBSTITUTE(Catalogo!$F119," ","")&amp;",")),Catalogo!$H119&lt;&gt;"N"),"●","")</f>
        <v/>
      </c>
    </row>
    <row r="120">
      <c r="A120" s="17">
        <f>Catalogo!A120</f>
        <v/>
      </c>
      <c r="B120" s="17">
        <f>Catalogo!C120</f>
        <v/>
      </c>
      <c r="C120" s="19">
        <f>IF(Catalogo!H120="","(vazio)",Catalogo!H120)</f>
        <v/>
      </c>
      <c r="D120" s="19">
        <f>IF(AND(ISNUMBER(SEARCH(","&amp;D$1&amp;",",","&amp;SUBSTITUTE(Catalogo!$F120," ","")&amp;",")),Catalogo!$H120&lt;&gt;"N"),"●","")</f>
        <v/>
      </c>
      <c r="E120" s="19">
        <f>IF(AND(ISNUMBER(SEARCH(","&amp;E$1&amp;",",","&amp;SUBSTITUTE(Catalogo!$F120," ","")&amp;",")),Catalogo!$H120&lt;&gt;"N"),"●","")</f>
        <v/>
      </c>
      <c r="F120" s="19">
        <f>IF(AND(ISNUMBER(SEARCH(","&amp;F$1&amp;",",","&amp;SUBSTITUTE(Catalogo!$F120," ","")&amp;",")),Catalogo!$H120&lt;&gt;"N"),"●","")</f>
        <v/>
      </c>
      <c r="G120" s="19">
        <f>IF(AND(ISNUMBER(SEARCH(","&amp;G$1&amp;",",","&amp;SUBSTITUTE(Catalogo!$F120," ","")&amp;",")),Catalogo!$H120&lt;&gt;"N"),"●","")</f>
        <v/>
      </c>
      <c r="H120" s="19">
        <f>IF(AND(ISNUMBER(SEARCH(","&amp;H$1&amp;",",","&amp;SUBSTITUTE(Catalogo!$F120," ","")&amp;",")),Catalogo!$H120&lt;&gt;"N"),"●","")</f>
        <v/>
      </c>
      <c r="I120" s="19">
        <f>IF(AND(ISNUMBER(SEARCH(","&amp;I$1&amp;",",","&amp;SUBSTITUTE(Catalogo!$F120," ","")&amp;",")),Catalogo!$H120&lt;&gt;"N"),"●","")</f>
        <v/>
      </c>
      <c r="J120" s="19">
        <f>IF(AND(ISNUMBER(SEARCH(","&amp;J$1&amp;",",","&amp;SUBSTITUTE(Catalogo!$F120," ","")&amp;",")),Catalogo!$H120&lt;&gt;"N"),"●","")</f>
        <v/>
      </c>
      <c r="K120" s="19">
        <f>IF(AND(ISNUMBER(SEARCH(","&amp;K$1&amp;",",","&amp;SUBSTITUTE(Catalogo!$F120," ","")&amp;",")),Catalogo!$H120&lt;&gt;"N"),"●","")</f>
        <v/>
      </c>
      <c r="L120" s="19">
        <f>IF(AND(ISNUMBER(SEARCH(","&amp;L$1&amp;",",","&amp;SUBSTITUTE(Catalogo!$F120," ","")&amp;",")),Catalogo!$H120&lt;&gt;"N"),"●","")</f>
        <v/>
      </c>
      <c r="M120" s="19">
        <f>IF(AND(ISNUMBER(SEARCH(","&amp;M$1&amp;",",","&amp;SUBSTITUTE(Catalogo!$F120," ","")&amp;",")),Catalogo!$H120&lt;&gt;"N"),"●","")</f>
        <v/>
      </c>
    </row>
    <row r="121">
      <c r="A121" s="17">
        <f>Catalogo!A121</f>
        <v/>
      </c>
      <c r="B121" s="17">
        <f>Catalogo!C121</f>
        <v/>
      </c>
      <c r="C121" s="19">
        <f>IF(Catalogo!H121="","(vazio)",Catalogo!H121)</f>
        <v/>
      </c>
      <c r="D121" s="19">
        <f>IF(AND(ISNUMBER(SEARCH(","&amp;D$1&amp;",",","&amp;SUBSTITUTE(Catalogo!$F121," ","")&amp;",")),Catalogo!$H121&lt;&gt;"N"),"●","")</f>
        <v/>
      </c>
      <c r="E121" s="19">
        <f>IF(AND(ISNUMBER(SEARCH(","&amp;E$1&amp;",",","&amp;SUBSTITUTE(Catalogo!$F121," ","")&amp;",")),Catalogo!$H121&lt;&gt;"N"),"●","")</f>
        <v/>
      </c>
      <c r="F121" s="19">
        <f>IF(AND(ISNUMBER(SEARCH(","&amp;F$1&amp;",",","&amp;SUBSTITUTE(Catalogo!$F121," ","")&amp;",")),Catalogo!$H121&lt;&gt;"N"),"●","")</f>
        <v/>
      </c>
      <c r="G121" s="19">
        <f>IF(AND(ISNUMBER(SEARCH(","&amp;G$1&amp;",",","&amp;SUBSTITUTE(Catalogo!$F121," ","")&amp;",")),Catalogo!$H121&lt;&gt;"N"),"●","")</f>
        <v/>
      </c>
      <c r="H121" s="19">
        <f>IF(AND(ISNUMBER(SEARCH(","&amp;H$1&amp;",",","&amp;SUBSTITUTE(Catalogo!$F121," ","")&amp;",")),Catalogo!$H121&lt;&gt;"N"),"●","")</f>
        <v/>
      </c>
      <c r="I121" s="19">
        <f>IF(AND(ISNUMBER(SEARCH(","&amp;I$1&amp;",",","&amp;SUBSTITUTE(Catalogo!$F121," ","")&amp;",")),Catalogo!$H121&lt;&gt;"N"),"●","")</f>
        <v/>
      </c>
      <c r="J121" s="19">
        <f>IF(AND(ISNUMBER(SEARCH(","&amp;J$1&amp;",",","&amp;SUBSTITUTE(Catalogo!$F121," ","")&amp;",")),Catalogo!$H121&lt;&gt;"N"),"●","")</f>
        <v/>
      </c>
      <c r="K121" s="19">
        <f>IF(AND(ISNUMBER(SEARCH(","&amp;K$1&amp;",",","&amp;SUBSTITUTE(Catalogo!$F121," ","")&amp;",")),Catalogo!$H121&lt;&gt;"N"),"●","")</f>
        <v/>
      </c>
      <c r="L121" s="19">
        <f>IF(AND(ISNUMBER(SEARCH(","&amp;L$1&amp;",",","&amp;SUBSTITUTE(Catalogo!$F121," ","")&amp;",")),Catalogo!$H121&lt;&gt;"N"),"●","")</f>
        <v/>
      </c>
      <c r="M121" s="19">
        <f>IF(AND(ISNUMBER(SEARCH(","&amp;M$1&amp;",",","&amp;SUBSTITUTE(Catalogo!$F121," ","")&amp;",")),Catalogo!$H121&lt;&gt;"N"),"●","")</f>
        <v/>
      </c>
    </row>
    <row r="122">
      <c r="A122" s="17">
        <f>Catalogo!A122</f>
        <v/>
      </c>
      <c r="B122" s="17">
        <f>Catalogo!C122</f>
        <v/>
      </c>
      <c r="C122" s="19">
        <f>IF(Catalogo!H122="","(vazio)",Catalogo!H122)</f>
        <v/>
      </c>
      <c r="D122" s="19">
        <f>IF(AND(ISNUMBER(SEARCH(","&amp;D$1&amp;",",","&amp;SUBSTITUTE(Catalogo!$F122," ","")&amp;",")),Catalogo!$H122&lt;&gt;"N"),"●","")</f>
        <v/>
      </c>
      <c r="E122" s="19">
        <f>IF(AND(ISNUMBER(SEARCH(","&amp;E$1&amp;",",","&amp;SUBSTITUTE(Catalogo!$F122," ","")&amp;",")),Catalogo!$H122&lt;&gt;"N"),"●","")</f>
        <v/>
      </c>
      <c r="F122" s="19">
        <f>IF(AND(ISNUMBER(SEARCH(","&amp;F$1&amp;",",","&amp;SUBSTITUTE(Catalogo!$F122," ","")&amp;",")),Catalogo!$H122&lt;&gt;"N"),"●","")</f>
        <v/>
      </c>
      <c r="G122" s="19">
        <f>IF(AND(ISNUMBER(SEARCH(","&amp;G$1&amp;",",","&amp;SUBSTITUTE(Catalogo!$F122," ","")&amp;",")),Catalogo!$H122&lt;&gt;"N"),"●","")</f>
        <v/>
      </c>
      <c r="H122" s="19">
        <f>IF(AND(ISNUMBER(SEARCH(","&amp;H$1&amp;",",","&amp;SUBSTITUTE(Catalogo!$F122," ","")&amp;",")),Catalogo!$H122&lt;&gt;"N"),"●","")</f>
        <v/>
      </c>
      <c r="I122" s="19">
        <f>IF(AND(ISNUMBER(SEARCH(","&amp;I$1&amp;",",","&amp;SUBSTITUTE(Catalogo!$F122," ","")&amp;",")),Catalogo!$H122&lt;&gt;"N"),"●","")</f>
        <v/>
      </c>
      <c r="J122" s="19">
        <f>IF(AND(ISNUMBER(SEARCH(","&amp;J$1&amp;",",","&amp;SUBSTITUTE(Catalogo!$F122," ","")&amp;",")),Catalogo!$H122&lt;&gt;"N"),"●","")</f>
        <v/>
      </c>
      <c r="K122" s="19">
        <f>IF(AND(ISNUMBER(SEARCH(","&amp;K$1&amp;",",","&amp;SUBSTITUTE(Catalogo!$F122," ","")&amp;",")),Catalogo!$H122&lt;&gt;"N"),"●","")</f>
        <v/>
      </c>
      <c r="L122" s="19">
        <f>IF(AND(ISNUMBER(SEARCH(","&amp;L$1&amp;",",","&amp;SUBSTITUTE(Catalogo!$F122," ","")&amp;",")),Catalogo!$H122&lt;&gt;"N"),"●","")</f>
        <v/>
      </c>
      <c r="M122" s="19">
        <f>IF(AND(ISNUMBER(SEARCH(","&amp;M$1&amp;",",","&amp;SUBSTITUTE(Catalogo!$F122," ","")&amp;",")),Catalogo!$H122&lt;&gt;"N"),"●","")</f>
        <v/>
      </c>
    </row>
    <row r="123">
      <c r="A123" s="17">
        <f>Catalogo!A123</f>
        <v/>
      </c>
      <c r="B123" s="17">
        <f>Catalogo!C123</f>
        <v/>
      </c>
      <c r="C123" s="19">
        <f>IF(Catalogo!H123="","(vazio)",Catalogo!H123)</f>
        <v/>
      </c>
      <c r="D123" s="19">
        <f>IF(AND(ISNUMBER(SEARCH(","&amp;D$1&amp;",",","&amp;SUBSTITUTE(Catalogo!$F123," ","")&amp;",")),Catalogo!$H123&lt;&gt;"N"),"●","")</f>
        <v/>
      </c>
      <c r="E123" s="19">
        <f>IF(AND(ISNUMBER(SEARCH(","&amp;E$1&amp;",",","&amp;SUBSTITUTE(Catalogo!$F123," ","")&amp;",")),Catalogo!$H123&lt;&gt;"N"),"●","")</f>
        <v/>
      </c>
      <c r="F123" s="19">
        <f>IF(AND(ISNUMBER(SEARCH(","&amp;F$1&amp;",",","&amp;SUBSTITUTE(Catalogo!$F123," ","")&amp;",")),Catalogo!$H123&lt;&gt;"N"),"●","")</f>
        <v/>
      </c>
      <c r="G123" s="19">
        <f>IF(AND(ISNUMBER(SEARCH(","&amp;G$1&amp;",",","&amp;SUBSTITUTE(Catalogo!$F123," ","")&amp;",")),Catalogo!$H123&lt;&gt;"N"),"●","")</f>
        <v/>
      </c>
      <c r="H123" s="19">
        <f>IF(AND(ISNUMBER(SEARCH(","&amp;H$1&amp;",",","&amp;SUBSTITUTE(Catalogo!$F123," ","")&amp;",")),Catalogo!$H123&lt;&gt;"N"),"●","")</f>
        <v/>
      </c>
      <c r="I123" s="19">
        <f>IF(AND(ISNUMBER(SEARCH(","&amp;I$1&amp;",",","&amp;SUBSTITUTE(Catalogo!$F123," ","")&amp;",")),Catalogo!$H123&lt;&gt;"N"),"●","")</f>
        <v/>
      </c>
      <c r="J123" s="19">
        <f>IF(AND(ISNUMBER(SEARCH(","&amp;J$1&amp;",",","&amp;SUBSTITUTE(Catalogo!$F123," ","")&amp;",")),Catalogo!$H123&lt;&gt;"N"),"●","")</f>
        <v/>
      </c>
      <c r="K123" s="19">
        <f>IF(AND(ISNUMBER(SEARCH(","&amp;K$1&amp;",",","&amp;SUBSTITUTE(Catalogo!$F123," ","")&amp;",")),Catalogo!$H123&lt;&gt;"N"),"●","")</f>
        <v/>
      </c>
      <c r="L123" s="19">
        <f>IF(AND(ISNUMBER(SEARCH(","&amp;L$1&amp;",",","&amp;SUBSTITUTE(Catalogo!$F123," ","")&amp;",")),Catalogo!$H123&lt;&gt;"N"),"●","")</f>
        <v/>
      </c>
      <c r="M123" s="19">
        <f>IF(AND(ISNUMBER(SEARCH(","&amp;M$1&amp;",",","&amp;SUBSTITUTE(Catalogo!$F123," ","")&amp;",")),Catalogo!$H123&lt;&gt;"N"),"●","")</f>
        <v/>
      </c>
    </row>
    <row r="124">
      <c r="A124" s="17">
        <f>Catalogo!A124</f>
        <v/>
      </c>
      <c r="B124" s="17">
        <f>Catalogo!C124</f>
        <v/>
      </c>
      <c r="C124" s="19">
        <f>IF(Catalogo!H124="","(vazio)",Catalogo!H124)</f>
        <v/>
      </c>
      <c r="D124" s="19">
        <f>IF(AND(ISNUMBER(SEARCH(","&amp;D$1&amp;",",","&amp;SUBSTITUTE(Catalogo!$F124," ","")&amp;",")),Catalogo!$H124&lt;&gt;"N"),"●","")</f>
        <v/>
      </c>
      <c r="E124" s="19">
        <f>IF(AND(ISNUMBER(SEARCH(","&amp;E$1&amp;",",","&amp;SUBSTITUTE(Catalogo!$F124," ","")&amp;",")),Catalogo!$H124&lt;&gt;"N"),"●","")</f>
        <v/>
      </c>
      <c r="F124" s="19">
        <f>IF(AND(ISNUMBER(SEARCH(","&amp;F$1&amp;",",","&amp;SUBSTITUTE(Catalogo!$F124," ","")&amp;",")),Catalogo!$H124&lt;&gt;"N"),"●","")</f>
        <v/>
      </c>
      <c r="G124" s="19">
        <f>IF(AND(ISNUMBER(SEARCH(","&amp;G$1&amp;",",","&amp;SUBSTITUTE(Catalogo!$F124," ","")&amp;",")),Catalogo!$H124&lt;&gt;"N"),"●","")</f>
        <v/>
      </c>
      <c r="H124" s="19">
        <f>IF(AND(ISNUMBER(SEARCH(","&amp;H$1&amp;",",","&amp;SUBSTITUTE(Catalogo!$F124," ","")&amp;",")),Catalogo!$H124&lt;&gt;"N"),"●","")</f>
        <v/>
      </c>
      <c r="I124" s="19">
        <f>IF(AND(ISNUMBER(SEARCH(","&amp;I$1&amp;",",","&amp;SUBSTITUTE(Catalogo!$F124," ","")&amp;",")),Catalogo!$H124&lt;&gt;"N"),"●","")</f>
        <v/>
      </c>
      <c r="J124" s="19">
        <f>IF(AND(ISNUMBER(SEARCH(","&amp;J$1&amp;",",","&amp;SUBSTITUTE(Catalogo!$F124," ","")&amp;",")),Catalogo!$H124&lt;&gt;"N"),"●","")</f>
        <v/>
      </c>
      <c r="K124" s="19">
        <f>IF(AND(ISNUMBER(SEARCH(","&amp;K$1&amp;",",","&amp;SUBSTITUTE(Catalogo!$F124," ","")&amp;",")),Catalogo!$H124&lt;&gt;"N"),"●","")</f>
        <v/>
      </c>
      <c r="L124" s="19">
        <f>IF(AND(ISNUMBER(SEARCH(","&amp;L$1&amp;",",","&amp;SUBSTITUTE(Catalogo!$F124," ","")&amp;",")),Catalogo!$H124&lt;&gt;"N"),"●","")</f>
        <v/>
      </c>
      <c r="M124" s="19">
        <f>IF(AND(ISNUMBER(SEARCH(","&amp;M$1&amp;",",","&amp;SUBSTITUTE(Catalogo!$F124," ","")&amp;",")),Catalogo!$H124&lt;&gt;"N"),"●","")</f>
        <v/>
      </c>
    </row>
    <row r="125">
      <c r="A125" s="17">
        <f>Catalogo!A125</f>
        <v/>
      </c>
      <c r="B125" s="17">
        <f>Catalogo!C125</f>
        <v/>
      </c>
      <c r="C125" s="19">
        <f>IF(Catalogo!H125="","(vazio)",Catalogo!H125)</f>
        <v/>
      </c>
      <c r="D125" s="19">
        <f>IF(AND(ISNUMBER(SEARCH(","&amp;D$1&amp;",",","&amp;SUBSTITUTE(Catalogo!$F125," ","")&amp;",")),Catalogo!$H125&lt;&gt;"N"),"●","")</f>
        <v/>
      </c>
      <c r="E125" s="19">
        <f>IF(AND(ISNUMBER(SEARCH(","&amp;E$1&amp;",",","&amp;SUBSTITUTE(Catalogo!$F125," ","")&amp;",")),Catalogo!$H125&lt;&gt;"N"),"●","")</f>
        <v/>
      </c>
      <c r="F125" s="19">
        <f>IF(AND(ISNUMBER(SEARCH(","&amp;F$1&amp;",",","&amp;SUBSTITUTE(Catalogo!$F125," ","")&amp;",")),Catalogo!$H125&lt;&gt;"N"),"●","")</f>
        <v/>
      </c>
      <c r="G125" s="19">
        <f>IF(AND(ISNUMBER(SEARCH(","&amp;G$1&amp;",",","&amp;SUBSTITUTE(Catalogo!$F125," ","")&amp;",")),Catalogo!$H125&lt;&gt;"N"),"●","")</f>
        <v/>
      </c>
      <c r="H125" s="19">
        <f>IF(AND(ISNUMBER(SEARCH(","&amp;H$1&amp;",",","&amp;SUBSTITUTE(Catalogo!$F125," ","")&amp;",")),Catalogo!$H125&lt;&gt;"N"),"●","")</f>
        <v/>
      </c>
      <c r="I125" s="19">
        <f>IF(AND(ISNUMBER(SEARCH(","&amp;I$1&amp;",",","&amp;SUBSTITUTE(Catalogo!$F125," ","")&amp;",")),Catalogo!$H125&lt;&gt;"N"),"●","")</f>
        <v/>
      </c>
      <c r="J125" s="19">
        <f>IF(AND(ISNUMBER(SEARCH(","&amp;J$1&amp;",",","&amp;SUBSTITUTE(Catalogo!$F125," ","")&amp;",")),Catalogo!$H125&lt;&gt;"N"),"●","")</f>
        <v/>
      </c>
      <c r="K125" s="19">
        <f>IF(AND(ISNUMBER(SEARCH(","&amp;K$1&amp;",",","&amp;SUBSTITUTE(Catalogo!$F125," ","")&amp;",")),Catalogo!$H125&lt;&gt;"N"),"●","")</f>
        <v/>
      </c>
      <c r="L125" s="19">
        <f>IF(AND(ISNUMBER(SEARCH(","&amp;L$1&amp;",",","&amp;SUBSTITUTE(Catalogo!$F125," ","")&amp;",")),Catalogo!$H125&lt;&gt;"N"),"●","")</f>
        <v/>
      </c>
      <c r="M125" s="19">
        <f>IF(AND(ISNUMBER(SEARCH(","&amp;M$1&amp;",",","&amp;SUBSTITUTE(Catalogo!$F125," ","")&amp;",")),Catalogo!$H125&lt;&gt;"N"),"●","")</f>
        <v/>
      </c>
    </row>
    <row r="126">
      <c r="A126" s="17">
        <f>Catalogo!A126</f>
        <v/>
      </c>
      <c r="B126" s="17">
        <f>Catalogo!C126</f>
        <v/>
      </c>
      <c r="C126" s="19">
        <f>IF(Catalogo!H126="","(vazio)",Catalogo!H126)</f>
        <v/>
      </c>
      <c r="D126" s="19">
        <f>IF(AND(ISNUMBER(SEARCH(","&amp;D$1&amp;",",","&amp;SUBSTITUTE(Catalogo!$F126," ","")&amp;",")),Catalogo!$H126&lt;&gt;"N"),"●","")</f>
        <v/>
      </c>
      <c r="E126" s="19">
        <f>IF(AND(ISNUMBER(SEARCH(","&amp;E$1&amp;",",","&amp;SUBSTITUTE(Catalogo!$F126," ","")&amp;",")),Catalogo!$H126&lt;&gt;"N"),"●","")</f>
        <v/>
      </c>
      <c r="F126" s="19">
        <f>IF(AND(ISNUMBER(SEARCH(","&amp;F$1&amp;",",","&amp;SUBSTITUTE(Catalogo!$F126," ","")&amp;",")),Catalogo!$H126&lt;&gt;"N"),"●","")</f>
        <v/>
      </c>
      <c r="G126" s="19">
        <f>IF(AND(ISNUMBER(SEARCH(","&amp;G$1&amp;",",","&amp;SUBSTITUTE(Catalogo!$F126," ","")&amp;",")),Catalogo!$H126&lt;&gt;"N"),"●","")</f>
        <v/>
      </c>
      <c r="H126" s="19">
        <f>IF(AND(ISNUMBER(SEARCH(","&amp;H$1&amp;",",","&amp;SUBSTITUTE(Catalogo!$F126," ","")&amp;",")),Catalogo!$H126&lt;&gt;"N"),"●","")</f>
        <v/>
      </c>
      <c r="I126" s="19">
        <f>IF(AND(ISNUMBER(SEARCH(","&amp;I$1&amp;",",","&amp;SUBSTITUTE(Catalogo!$F126," ","")&amp;",")),Catalogo!$H126&lt;&gt;"N"),"●","")</f>
        <v/>
      </c>
      <c r="J126" s="19">
        <f>IF(AND(ISNUMBER(SEARCH(","&amp;J$1&amp;",",","&amp;SUBSTITUTE(Catalogo!$F126," ","")&amp;",")),Catalogo!$H126&lt;&gt;"N"),"●","")</f>
        <v/>
      </c>
      <c r="K126" s="19">
        <f>IF(AND(ISNUMBER(SEARCH(","&amp;K$1&amp;",",","&amp;SUBSTITUTE(Catalogo!$F126," ","")&amp;",")),Catalogo!$H126&lt;&gt;"N"),"●","")</f>
        <v/>
      </c>
      <c r="L126" s="19">
        <f>IF(AND(ISNUMBER(SEARCH(","&amp;L$1&amp;",",","&amp;SUBSTITUTE(Catalogo!$F126," ","")&amp;",")),Catalogo!$H126&lt;&gt;"N"),"●","")</f>
        <v/>
      </c>
      <c r="M126" s="19">
        <f>IF(AND(ISNUMBER(SEARCH(","&amp;M$1&amp;",",","&amp;SUBSTITUTE(Catalogo!$F126," ","")&amp;",")),Catalogo!$H126&lt;&gt;"N"),"●","")</f>
        <v/>
      </c>
    </row>
    <row r="127">
      <c r="A127" s="17">
        <f>Catalogo!A127</f>
        <v/>
      </c>
      <c r="B127" s="17">
        <f>Catalogo!C127</f>
        <v/>
      </c>
      <c r="C127" s="19">
        <f>IF(Catalogo!H127="","(vazio)",Catalogo!H127)</f>
        <v/>
      </c>
      <c r="D127" s="19">
        <f>IF(AND(ISNUMBER(SEARCH(","&amp;D$1&amp;",",","&amp;SUBSTITUTE(Catalogo!$F127," ","")&amp;",")),Catalogo!$H127&lt;&gt;"N"),"●","")</f>
        <v/>
      </c>
      <c r="E127" s="19">
        <f>IF(AND(ISNUMBER(SEARCH(","&amp;E$1&amp;",",","&amp;SUBSTITUTE(Catalogo!$F127," ","")&amp;",")),Catalogo!$H127&lt;&gt;"N"),"●","")</f>
        <v/>
      </c>
      <c r="F127" s="19">
        <f>IF(AND(ISNUMBER(SEARCH(","&amp;F$1&amp;",",","&amp;SUBSTITUTE(Catalogo!$F127," ","")&amp;",")),Catalogo!$H127&lt;&gt;"N"),"●","")</f>
        <v/>
      </c>
      <c r="G127" s="19">
        <f>IF(AND(ISNUMBER(SEARCH(","&amp;G$1&amp;",",","&amp;SUBSTITUTE(Catalogo!$F127," ","")&amp;",")),Catalogo!$H127&lt;&gt;"N"),"●","")</f>
        <v/>
      </c>
      <c r="H127" s="19">
        <f>IF(AND(ISNUMBER(SEARCH(","&amp;H$1&amp;",",","&amp;SUBSTITUTE(Catalogo!$F127," ","")&amp;",")),Catalogo!$H127&lt;&gt;"N"),"●","")</f>
        <v/>
      </c>
      <c r="I127" s="19">
        <f>IF(AND(ISNUMBER(SEARCH(","&amp;I$1&amp;",",","&amp;SUBSTITUTE(Catalogo!$F127," ","")&amp;",")),Catalogo!$H127&lt;&gt;"N"),"●","")</f>
        <v/>
      </c>
      <c r="J127" s="19">
        <f>IF(AND(ISNUMBER(SEARCH(","&amp;J$1&amp;",",","&amp;SUBSTITUTE(Catalogo!$F127," ","")&amp;",")),Catalogo!$H127&lt;&gt;"N"),"●","")</f>
        <v/>
      </c>
      <c r="K127" s="19">
        <f>IF(AND(ISNUMBER(SEARCH(","&amp;K$1&amp;",",","&amp;SUBSTITUTE(Catalogo!$F127," ","")&amp;",")),Catalogo!$H127&lt;&gt;"N"),"●","")</f>
        <v/>
      </c>
      <c r="L127" s="19">
        <f>IF(AND(ISNUMBER(SEARCH(","&amp;L$1&amp;",",","&amp;SUBSTITUTE(Catalogo!$F127," ","")&amp;",")),Catalogo!$H127&lt;&gt;"N"),"●","")</f>
        <v/>
      </c>
      <c r="M127" s="19">
        <f>IF(AND(ISNUMBER(SEARCH(","&amp;M$1&amp;",",","&amp;SUBSTITUTE(Catalogo!$F127," ","")&amp;",")),Catalogo!$H127&lt;&gt;"N"),"●","")</f>
        <v/>
      </c>
    </row>
    <row r="128">
      <c r="A128" s="17">
        <f>Catalogo!A128</f>
        <v/>
      </c>
      <c r="B128" s="17">
        <f>Catalogo!C128</f>
        <v/>
      </c>
      <c r="C128" s="19">
        <f>IF(Catalogo!H128="","(vazio)",Catalogo!H128)</f>
        <v/>
      </c>
      <c r="D128" s="19">
        <f>IF(AND(ISNUMBER(SEARCH(","&amp;D$1&amp;",",","&amp;SUBSTITUTE(Catalogo!$F128," ","")&amp;",")),Catalogo!$H128&lt;&gt;"N"),"●","")</f>
        <v/>
      </c>
      <c r="E128" s="19">
        <f>IF(AND(ISNUMBER(SEARCH(","&amp;E$1&amp;",",","&amp;SUBSTITUTE(Catalogo!$F128," ","")&amp;",")),Catalogo!$H128&lt;&gt;"N"),"●","")</f>
        <v/>
      </c>
      <c r="F128" s="19">
        <f>IF(AND(ISNUMBER(SEARCH(","&amp;F$1&amp;",",","&amp;SUBSTITUTE(Catalogo!$F128," ","")&amp;",")),Catalogo!$H128&lt;&gt;"N"),"●","")</f>
        <v/>
      </c>
      <c r="G128" s="19">
        <f>IF(AND(ISNUMBER(SEARCH(","&amp;G$1&amp;",",","&amp;SUBSTITUTE(Catalogo!$F128," ","")&amp;",")),Catalogo!$H128&lt;&gt;"N"),"●","")</f>
        <v/>
      </c>
      <c r="H128" s="19">
        <f>IF(AND(ISNUMBER(SEARCH(","&amp;H$1&amp;",",","&amp;SUBSTITUTE(Catalogo!$F128," ","")&amp;",")),Catalogo!$H128&lt;&gt;"N"),"●","")</f>
        <v/>
      </c>
      <c r="I128" s="19">
        <f>IF(AND(ISNUMBER(SEARCH(","&amp;I$1&amp;",",","&amp;SUBSTITUTE(Catalogo!$F128," ","")&amp;",")),Catalogo!$H128&lt;&gt;"N"),"●","")</f>
        <v/>
      </c>
      <c r="J128" s="19">
        <f>IF(AND(ISNUMBER(SEARCH(","&amp;J$1&amp;",",","&amp;SUBSTITUTE(Catalogo!$F128," ","")&amp;",")),Catalogo!$H128&lt;&gt;"N"),"●","")</f>
        <v/>
      </c>
      <c r="K128" s="19">
        <f>IF(AND(ISNUMBER(SEARCH(","&amp;K$1&amp;",",","&amp;SUBSTITUTE(Catalogo!$F128," ","")&amp;",")),Catalogo!$H128&lt;&gt;"N"),"●","")</f>
        <v/>
      </c>
      <c r="L128" s="19">
        <f>IF(AND(ISNUMBER(SEARCH(","&amp;L$1&amp;",",","&amp;SUBSTITUTE(Catalogo!$F128," ","")&amp;",")),Catalogo!$H128&lt;&gt;"N"),"●","")</f>
        <v/>
      </c>
      <c r="M128" s="19">
        <f>IF(AND(ISNUMBER(SEARCH(","&amp;M$1&amp;",",","&amp;SUBSTITUTE(Catalogo!$F128," ","")&amp;",")),Catalogo!$H128&lt;&gt;"N"),"●","")</f>
        <v/>
      </c>
    </row>
    <row r="129">
      <c r="A129" s="17">
        <f>Catalogo!A129</f>
        <v/>
      </c>
      <c r="B129" s="17">
        <f>Catalogo!C129</f>
        <v/>
      </c>
      <c r="C129" s="19">
        <f>IF(Catalogo!H129="","(vazio)",Catalogo!H129)</f>
        <v/>
      </c>
      <c r="D129" s="19">
        <f>IF(AND(ISNUMBER(SEARCH(","&amp;D$1&amp;",",","&amp;SUBSTITUTE(Catalogo!$F129," ","")&amp;",")),Catalogo!$H129&lt;&gt;"N"),"●","")</f>
        <v/>
      </c>
      <c r="E129" s="19">
        <f>IF(AND(ISNUMBER(SEARCH(","&amp;E$1&amp;",",","&amp;SUBSTITUTE(Catalogo!$F129," ","")&amp;",")),Catalogo!$H129&lt;&gt;"N"),"●","")</f>
        <v/>
      </c>
      <c r="F129" s="19">
        <f>IF(AND(ISNUMBER(SEARCH(","&amp;F$1&amp;",",","&amp;SUBSTITUTE(Catalogo!$F129," ","")&amp;",")),Catalogo!$H129&lt;&gt;"N"),"●","")</f>
        <v/>
      </c>
      <c r="G129" s="19">
        <f>IF(AND(ISNUMBER(SEARCH(","&amp;G$1&amp;",",","&amp;SUBSTITUTE(Catalogo!$F129," ","")&amp;",")),Catalogo!$H129&lt;&gt;"N"),"●","")</f>
        <v/>
      </c>
      <c r="H129" s="19">
        <f>IF(AND(ISNUMBER(SEARCH(","&amp;H$1&amp;",",","&amp;SUBSTITUTE(Catalogo!$F129," ","")&amp;",")),Catalogo!$H129&lt;&gt;"N"),"●","")</f>
        <v/>
      </c>
      <c r="I129" s="19">
        <f>IF(AND(ISNUMBER(SEARCH(","&amp;I$1&amp;",",","&amp;SUBSTITUTE(Catalogo!$F129," ","")&amp;",")),Catalogo!$H129&lt;&gt;"N"),"●","")</f>
        <v/>
      </c>
      <c r="J129" s="19">
        <f>IF(AND(ISNUMBER(SEARCH(","&amp;J$1&amp;",",","&amp;SUBSTITUTE(Catalogo!$F129," ","")&amp;",")),Catalogo!$H129&lt;&gt;"N"),"●","")</f>
        <v/>
      </c>
      <c r="K129" s="19">
        <f>IF(AND(ISNUMBER(SEARCH(","&amp;K$1&amp;",",","&amp;SUBSTITUTE(Catalogo!$F129," ","")&amp;",")),Catalogo!$H129&lt;&gt;"N"),"●","")</f>
        <v/>
      </c>
      <c r="L129" s="19">
        <f>IF(AND(ISNUMBER(SEARCH(","&amp;L$1&amp;",",","&amp;SUBSTITUTE(Catalogo!$F129," ","")&amp;",")),Catalogo!$H129&lt;&gt;"N"),"●","")</f>
        <v/>
      </c>
      <c r="M129" s="19">
        <f>IF(AND(ISNUMBER(SEARCH(","&amp;M$1&amp;",",","&amp;SUBSTITUTE(Catalogo!$F129," ","")&amp;",")),Catalogo!$H129&lt;&gt;"N"),"●","")</f>
        <v/>
      </c>
    </row>
    <row r="130">
      <c r="A130" s="17">
        <f>Catalogo!A130</f>
        <v/>
      </c>
      <c r="B130" s="17">
        <f>Catalogo!C130</f>
        <v/>
      </c>
      <c r="C130" s="19">
        <f>IF(Catalogo!H130="","(vazio)",Catalogo!H130)</f>
        <v/>
      </c>
      <c r="D130" s="19">
        <f>IF(AND(ISNUMBER(SEARCH(","&amp;D$1&amp;",",","&amp;SUBSTITUTE(Catalogo!$F130," ","")&amp;",")),Catalogo!$H130&lt;&gt;"N"),"●","")</f>
        <v/>
      </c>
      <c r="E130" s="19">
        <f>IF(AND(ISNUMBER(SEARCH(","&amp;E$1&amp;",",","&amp;SUBSTITUTE(Catalogo!$F130," ","")&amp;",")),Catalogo!$H130&lt;&gt;"N"),"●","")</f>
        <v/>
      </c>
      <c r="F130" s="19">
        <f>IF(AND(ISNUMBER(SEARCH(","&amp;F$1&amp;",",","&amp;SUBSTITUTE(Catalogo!$F130," ","")&amp;",")),Catalogo!$H130&lt;&gt;"N"),"●","")</f>
        <v/>
      </c>
      <c r="G130" s="19">
        <f>IF(AND(ISNUMBER(SEARCH(","&amp;G$1&amp;",",","&amp;SUBSTITUTE(Catalogo!$F130," ","")&amp;",")),Catalogo!$H130&lt;&gt;"N"),"●","")</f>
        <v/>
      </c>
      <c r="H130" s="19">
        <f>IF(AND(ISNUMBER(SEARCH(","&amp;H$1&amp;",",","&amp;SUBSTITUTE(Catalogo!$F130," ","")&amp;",")),Catalogo!$H130&lt;&gt;"N"),"●","")</f>
        <v/>
      </c>
      <c r="I130" s="19">
        <f>IF(AND(ISNUMBER(SEARCH(","&amp;I$1&amp;",",","&amp;SUBSTITUTE(Catalogo!$F130," ","")&amp;",")),Catalogo!$H130&lt;&gt;"N"),"●","")</f>
        <v/>
      </c>
      <c r="J130" s="19">
        <f>IF(AND(ISNUMBER(SEARCH(","&amp;J$1&amp;",",","&amp;SUBSTITUTE(Catalogo!$F130," ","")&amp;",")),Catalogo!$H130&lt;&gt;"N"),"●","")</f>
        <v/>
      </c>
      <c r="K130" s="19">
        <f>IF(AND(ISNUMBER(SEARCH(","&amp;K$1&amp;",",","&amp;SUBSTITUTE(Catalogo!$F130," ","")&amp;",")),Catalogo!$H130&lt;&gt;"N"),"●","")</f>
        <v/>
      </c>
      <c r="L130" s="19">
        <f>IF(AND(ISNUMBER(SEARCH(","&amp;L$1&amp;",",","&amp;SUBSTITUTE(Catalogo!$F130," ","")&amp;",")),Catalogo!$H130&lt;&gt;"N"),"●","")</f>
        <v/>
      </c>
      <c r="M130" s="19">
        <f>IF(AND(ISNUMBER(SEARCH(","&amp;M$1&amp;",",","&amp;SUBSTITUTE(Catalogo!$F130," ","")&amp;",")),Catalogo!$H130&lt;&gt;"N"),"●","")</f>
        <v/>
      </c>
    </row>
    <row r="131">
      <c r="A131" s="17">
        <f>Catalogo!A131</f>
        <v/>
      </c>
      <c r="B131" s="17">
        <f>Catalogo!C131</f>
        <v/>
      </c>
      <c r="C131" s="19">
        <f>IF(Catalogo!H131="","(vazio)",Catalogo!H131)</f>
        <v/>
      </c>
      <c r="D131" s="19">
        <f>IF(AND(ISNUMBER(SEARCH(","&amp;D$1&amp;",",","&amp;SUBSTITUTE(Catalogo!$F131," ","")&amp;",")),Catalogo!$H131&lt;&gt;"N"),"●","")</f>
        <v/>
      </c>
      <c r="E131" s="19">
        <f>IF(AND(ISNUMBER(SEARCH(","&amp;E$1&amp;",",","&amp;SUBSTITUTE(Catalogo!$F131," ","")&amp;",")),Catalogo!$H131&lt;&gt;"N"),"●","")</f>
        <v/>
      </c>
      <c r="F131" s="19">
        <f>IF(AND(ISNUMBER(SEARCH(","&amp;F$1&amp;",",","&amp;SUBSTITUTE(Catalogo!$F131," ","")&amp;",")),Catalogo!$H131&lt;&gt;"N"),"●","")</f>
        <v/>
      </c>
      <c r="G131" s="19">
        <f>IF(AND(ISNUMBER(SEARCH(","&amp;G$1&amp;",",","&amp;SUBSTITUTE(Catalogo!$F131," ","")&amp;",")),Catalogo!$H131&lt;&gt;"N"),"●","")</f>
        <v/>
      </c>
      <c r="H131" s="19">
        <f>IF(AND(ISNUMBER(SEARCH(","&amp;H$1&amp;",",","&amp;SUBSTITUTE(Catalogo!$F131," ","")&amp;",")),Catalogo!$H131&lt;&gt;"N"),"●","")</f>
        <v/>
      </c>
      <c r="I131" s="19">
        <f>IF(AND(ISNUMBER(SEARCH(","&amp;I$1&amp;",",","&amp;SUBSTITUTE(Catalogo!$F131," ","")&amp;",")),Catalogo!$H131&lt;&gt;"N"),"●","")</f>
        <v/>
      </c>
      <c r="J131" s="19">
        <f>IF(AND(ISNUMBER(SEARCH(","&amp;J$1&amp;",",","&amp;SUBSTITUTE(Catalogo!$F131," ","")&amp;",")),Catalogo!$H131&lt;&gt;"N"),"●","")</f>
        <v/>
      </c>
      <c r="K131" s="19">
        <f>IF(AND(ISNUMBER(SEARCH(","&amp;K$1&amp;",",","&amp;SUBSTITUTE(Catalogo!$F131," ","")&amp;",")),Catalogo!$H131&lt;&gt;"N"),"●","")</f>
        <v/>
      </c>
      <c r="L131" s="19">
        <f>IF(AND(ISNUMBER(SEARCH(","&amp;L$1&amp;",",","&amp;SUBSTITUTE(Catalogo!$F131," ","")&amp;",")),Catalogo!$H131&lt;&gt;"N"),"●","")</f>
        <v/>
      </c>
      <c r="M131" s="19">
        <f>IF(AND(ISNUMBER(SEARCH(","&amp;M$1&amp;",",","&amp;SUBSTITUTE(Catalogo!$F131," ","")&amp;",")),Catalogo!$H131&lt;&gt;"N"),"●","")</f>
        <v/>
      </c>
    </row>
    <row r="132">
      <c r="A132" s="17">
        <f>Catalogo!A132</f>
        <v/>
      </c>
      <c r="B132" s="17">
        <f>Catalogo!C132</f>
        <v/>
      </c>
      <c r="C132" s="19">
        <f>IF(Catalogo!H132="","(vazio)",Catalogo!H132)</f>
        <v/>
      </c>
      <c r="D132" s="19">
        <f>IF(AND(ISNUMBER(SEARCH(","&amp;D$1&amp;",",","&amp;SUBSTITUTE(Catalogo!$F132," ","")&amp;",")),Catalogo!$H132&lt;&gt;"N"),"●","")</f>
        <v/>
      </c>
      <c r="E132" s="19">
        <f>IF(AND(ISNUMBER(SEARCH(","&amp;E$1&amp;",",","&amp;SUBSTITUTE(Catalogo!$F132," ","")&amp;",")),Catalogo!$H132&lt;&gt;"N"),"●","")</f>
        <v/>
      </c>
      <c r="F132" s="19">
        <f>IF(AND(ISNUMBER(SEARCH(","&amp;F$1&amp;",",","&amp;SUBSTITUTE(Catalogo!$F132," ","")&amp;",")),Catalogo!$H132&lt;&gt;"N"),"●","")</f>
        <v/>
      </c>
      <c r="G132" s="19">
        <f>IF(AND(ISNUMBER(SEARCH(","&amp;G$1&amp;",",","&amp;SUBSTITUTE(Catalogo!$F132," ","")&amp;",")),Catalogo!$H132&lt;&gt;"N"),"●","")</f>
        <v/>
      </c>
      <c r="H132" s="19">
        <f>IF(AND(ISNUMBER(SEARCH(","&amp;H$1&amp;",",","&amp;SUBSTITUTE(Catalogo!$F132," ","")&amp;",")),Catalogo!$H132&lt;&gt;"N"),"●","")</f>
        <v/>
      </c>
      <c r="I132" s="19">
        <f>IF(AND(ISNUMBER(SEARCH(","&amp;I$1&amp;",",","&amp;SUBSTITUTE(Catalogo!$F132," ","")&amp;",")),Catalogo!$H132&lt;&gt;"N"),"●","")</f>
        <v/>
      </c>
      <c r="J132" s="19">
        <f>IF(AND(ISNUMBER(SEARCH(","&amp;J$1&amp;",",","&amp;SUBSTITUTE(Catalogo!$F132," ","")&amp;",")),Catalogo!$H132&lt;&gt;"N"),"●","")</f>
        <v/>
      </c>
      <c r="K132" s="19">
        <f>IF(AND(ISNUMBER(SEARCH(","&amp;K$1&amp;",",","&amp;SUBSTITUTE(Catalogo!$F132," ","")&amp;",")),Catalogo!$H132&lt;&gt;"N"),"●","")</f>
        <v/>
      </c>
      <c r="L132" s="19">
        <f>IF(AND(ISNUMBER(SEARCH(","&amp;L$1&amp;",",","&amp;SUBSTITUTE(Catalogo!$F132," ","")&amp;",")),Catalogo!$H132&lt;&gt;"N"),"●","")</f>
        <v/>
      </c>
      <c r="M132" s="19">
        <f>IF(AND(ISNUMBER(SEARCH(","&amp;M$1&amp;",",","&amp;SUBSTITUTE(Catalogo!$F132," ","")&amp;",")),Catalogo!$H132&lt;&gt;"N"),"●","")</f>
        <v/>
      </c>
    </row>
    <row r="133">
      <c r="A133" s="17">
        <f>Catalogo!A133</f>
        <v/>
      </c>
      <c r="B133" s="17">
        <f>Catalogo!C133</f>
        <v/>
      </c>
      <c r="C133" s="19">
        <f>IF(Catalogo!H133="","(vazio)",Catalogo!H133)</f>
        <v/>
      </c>
      <c r="D133" s="19">
        <f>IF(AND(ISNUMBER(SEARCH(","&amp;D$1&amp;",",","&amp;SUBSTITUTE(Catalogo!$F133," ","")&amp;",")),Catalogo!$H133&lt;&gt;"N"),"●","")</f>
        <v/>
      </c>
      <c r="E133" s="19">
        <f>IF(AND(ISNUMBER(SEARCH(","&amp;E$1&amp;",",","&amp;SUBSTITUTE(Catalogo!$F133," ","")&amp;",")),Catalogo!$H133&lt;&gt;"N"),"●","")</f>
        <v/>
      </c>
      <c r="F133" s="19">
        <f>IF(AND(ISNUMBER(SEARCH(","&amp;F$1&amp;",",","&amp;SUBSTITUTE(Catalogo!$F133," ","")&amp;",")),Catalogo!$H133&lt;&gt;"N"),"●","")</f>
        <v/>
      </c>
      <c r="G133" s="19">
        <f>IF(AND(ISNUMBER(SEARCH(","&amp;G$1&amp;",",","&amp;SUBSTITUTE(Catalogo!$F133," ","")&amp;",")),Catalogo!$H133&lt;&gt;"N"),"●","")</f>
        <v/>
      </c>
      <c r="H133" s="19">
        <f>IF(AND(ISNUMBER(SEARCH(","&amp;H$1&amp;",",","&amp;SUBSTITUTE(Catalogo!$F133," ","")&amp;",")),Catalogo!$H133&lt;&gt;"N"),"●","")</f>
        <v/>
      </c>
      <c r="I133" s="19">
        <f>IF(AND(ISNUMBER(SEARCH(","&amp;I$1&amp;",",","&amp;SUBSTITUTE(Catalogo!$F133," ","")&amp;",")),Catalogo!$H133&lt;&gt;"N"),"●","")</f>
        <v/>
      </c>
      <c r="J133" s="19">
        <f>IF(AND(ISNUMBER(SEARCH(","&amp;J$1&amp;",",","&amp;SUBSTITUTE(Catalogo!$F133," ","")&amp;",")),Catalogo!$H133&lt;&gt;"N"),"●","")</f>
        <v/>
      </c>
      <c r="K133" s="19">
        <f>IF(AND(ISNUMBER(SEARCH(","&amp;K$1&amp;",",","&amp;SUBSTITUTE(Catalogo!$F133," ","")&amp;",")),Catalogo!$H133&lt;&gt;"N"),"●","")</f>
        <v/>
      </c>
      <c r="L133" s="19">
        <f>IF(AND(ISNUMBER(SEARCH(","&amp;L$1&amp;",",","&amp;SUBSTITUTE(Catalogo!$F133," ","")&amp;",")),Catalogo!$H133&lt;&gt;"N"),"●","")</f>
        <v/>
      </c>
      <c r="M133" s="19">
        <f>IF(AND(ISNUMBER(SEARCH(","&amp;M$1&amp;",",","&amp;SUBSTITUTE(Catalogo!$F133," ","")&amp;",")),Catalogo!$H133&lt;&gt;"N"),"●","")</f>
        <v/>
      </c>
    </row>
    <row r="134">
      <c r="A134" s="17">
        <f>Catalogo!A134</f>
        <v/>
      </c>
      <c r="B134" s="17">
        <f>Catalogo!C134</f>
        <v/>
      </c>
      <c r="C134" s="19">
        <f>IF(Catalogo!H134="","(vazio)",Catalogo!H134)</f>
        <v/>
      </c>
      <c r="D134" s="19">
        <f>IF(AND(ISNUMBER(SEARCH(","&amp;D$1&amp;",",","&amp;SUBSTITUTE(Catalogo!$F134," ","")&amp;",")),Catalogo!$H134&lt;&gt;"N"),"●","")</f>
        <v/>
      </c>
      <c r="E134" s="19">
        <f>IF(AND(ISNUMBER(SEARCH(","&amp;E$1&amp;",",","&amp;SUBSTITUTE(Catalogo!$F134," ","")&amp;",")),Catalogo!$H134&lt;&gt;"N"),"●","")</f>
        <v/>
      </c>
      <c r="F134" s="19">
        <f>IF(AND(ISNUMBER(SEARCH(","&amp;F$1&amp;",",","&amp;SUBSTITUTE(Catalogo!$F134," ","")&amp;",")),Catalogo!$H134&lt;&gt;"N"),"●","")</f>
        <v/>
      </c>
      <c r="G134" s="19">
        <f>IF(AND(ISNUMBER(SEARCH(","&amp;G$1&amp;",",","&amp;SUBSTITUTE(Catalogo!$F134," ","")&amp;",")),Catalogo!$H134&lt;&gt;"N"),"●","")</f>
        <v/>
      </c>
      <c r="H134" s="19">
        <f>IF(AND(ISNUMBER(SEARCH(","&amp;H$1&amp;",",","&amp;SUBSTITUTE(Catalogo!$F134," ","")&amp;",")),Catalogo!$H134&lt;&gt;"N"),"●","")</f>
        <v/>
      </c>
      <c r="I134" s="19">
        <f>IF(AND(ISNUMBER(SEARCH(","&amp;I$1&amp;",",","&amp;SUBSTITUTE(Catalogo!$F134," ","")&amp;",")),Catalogo!$H134&lt;&gt;"N"),"●","")</f>
        <v/>
      </c>
      <c r="J134" s="19">
        <f>IF(AND(ISNUMBER(SEARCH(","&amp;J$1&amp;",",","&amp;SUBSTITUTE(Catalogo!$F134," ","")&amp;",")),Catalogo!$H134&lt;&gt;"N"),"●","")</f>
        <v/>
      </c>
      <c r="K134" s="19">
        <f>IF(AND(ISNUMBER(SEARCH(","&amp;K$1&amp;",",","&amp;SUBSTITUTE(Catalogo!$F134," ","")&amp;",")),Catalogo!$H134&lt;&gt;"N"),"●","")</f>
        <v/>
      </c>
      <c r="L134" s="19">
        <f>IF(AND(ISNUMBER(SEARCH(","&amp;L$1&amp;",",","&amp;SUBSTITUTE(Catalogo!$F134," ","")&amp;",")),Catalogo!$H134&lt;&gt;"N"),"●","")</f>
        <v/>
      </c>
      <c r="M134" s="19">
        <f>IF(AND(ISNUMBER(SEARCH(","&amp;M$1&amp;",",","&amp;SUBSTITUTE(Catalogo!$F134," ","")&amp;",")),Catalogo!$H134&lt;&gt;"N"),"●","")</f>
        <v/>
      </c>
    </row>
    <row r="135">
      <c r="A135" s="17">
        <f>Catalogo!A135</f>
        <v/>
      </c>
      <c r="B135" s="17">
        <f>Catalogo!C135</f>
        <v/>
      </c>
      <c r="C135" s="19">
        <f>IF(Catalogo!H135="","(vazio)",Catalogo!H135)</f>
        <v/>
      </c>
      <c r="D135" s="19">
        <f>IF(AND(ISNUMBER(SEARCH(","&amp;D$1&amp;",",","&amp;SUBSTITUTE(Catalogo!$F135," ","")&amp;",")),Catalogo!$H135&lt;&gt;"N"),"●","")</f>
        <v/>
      </c>
      <c r="E135" s="19">
        <f>IF(AND(ISNUMBER(SEARCH(","&amp;E$1&amp;",",","&amp;SUBSTITUTE(Catalogo!$F135," ","")&amp;",")),Catalogo!$H135&lt;&gt;"N"),"●","")</f>
        <v/>
      </c>
      <c r="F135" s="19">
        <f>IF(AND(ISNUMBER(SEARCH(","&amp;F$1&amp;",",","&amp;SUBSTITUTE(Catalogo!$F135," ","")&amp;",")),Catalogo!$H135&lt;&gt;"N"),"●","")</f>
        <v/>
      </c>
      <c r="G135" s="19">
        <f>IF(AND(ISNUMBER(SEARCH(","&amp;G$1&amp;",",","&amp;SUBSTITUTE(Catalogo!$F135," ","")&amp;",")),Catalogo!$H135&lt;&gt;"N"),"●","")</f>
        <v/>
      </c>
      <c r="H135" s="19">
        <f>IF(AND(ISNUMBER(SEARCH(","&amp;H$1&amp;",",","&amp;SUBSTITUTE(Catalogo!$F135," ","")&amp;",")),Catalogo!$H135&lt;&gt;"N"),"●","")</f>
        <v/>
      </c>
      <c r="I135" s="19">
        <f>IF(AND(ISNUMBER(SEARCH(","&amp;I$1&amp;",",","&amp;SUBSTITUTE(Catalogo!$F135," ","")&amp;",")),Catalogo!$H135&lt;&gt;"N"),"●","")</f>
        <v/>
      </c>
      <c r="J135" s="19">
        <f>IF(AND(ISNUMBER(SEARCH(","&amp;J$1&amp;",",","&amp;SUBSTITUTE(Catalogo!$F135," ","")&amp;",")),Catalogo!$H135&lt;&gt;"N"),"●","")</f>
        <v/>
      </c>
      <c r="K135" s="19">
        <f>IF(AND(ISNUMBER(SEARCH(","&amp;K$1&amp;",",","&amp;SUBSTITUTE(Catalogo!$F135," ","")&amp;",")),Catalogo!$H135&lt;&gt;"N"),"●","")</f>
        <v/>
      </c>
      <c r="L135" s="19">
        <f>IF(AND(ISNUMBER(SEARCH(","&amp;L$1&amp;",",","&amp;SUBSTITUTE(Catalogo!$F135," ","")&amp;",")),Catalogo!$H135&lt;&gt;"N"),"●","")</f>
        <v/>
      </c>
      <c r="M135" s="19">
        <f>IF(AND(ISNUMBER(SEARCH(","&amp;M$1&amp;",",","&amp;SUBSTITUTE(Catalogo!$F135," ","")&amp;",")),Catalogo!$H135&lt;&gt;"N"),"●","")</f>
        <v/>
      </c>
    </row>
    <row r="136">
      <c r="A136" s="17">
        <f>Catalogo!A136</f>
        <v/>
      </c>
      <c r="B136" s="17">
        <f>Catalogo!C136</f>
        <v/>
      </c>
      <c r="C136" s="19">
        <f>IF(Catalogo!H136="","(vazio)",Catalogo!H136)</f>
        <v/>
      </c>
      <c r="D136" s="19">
        <f>IF(AND(ISNUMBER(SEARCH(","&amp;D$1&amp;",",","&amp;SUBSTITUTE(Catalogo!$F136," ","")&amp;",")),Catalogo!$H136&lt;&gt;"N"),"●","")</f>
        <v/>
      </c>
      <c r="E136" s="19">
        <f>IF(AND(ISNUMBER(SEARCH(","&amp;E$1&amp;",",","&amp;SUBSTITUTE(Catalogo!$F136," ","")&amp;",")),Catalogo!$H136&lt;&gt;"N"),"●","")</f>
        <v/>
      </c>
      <c r="F136" s="19">
        <f>IF(AND(ISNUMBER(SEARCH(","&amp;F$1&amp;",",","&amp;SUBSTITUTE(Catalogo!$F136," ","")&amp;",")),Catalogo!$H136&lt;&gt;"N"),"●","")</f>
        <v/>
      </c>
      <c r="G136" s="19">
        <f>IF(AND(ISNUMBER(SEARCH(","&amp;G$1&amp;",",","&amp;SUBSTITUTE(Catalogo!$F136," ","")&amp;",")),Catalogo!$H136&lt;&gt;"N"),"●","")</f>
        <v/>
      </c>
      <c r="H136" s="19">
        <f>IF(AND(ISNUMBER(SEARCH(","&amp;H$1&amp;",",","&amp;SUBSTITUTE(Catalogo!$F136," ","")&amp;",")),Catalogo!$H136&lt;&gt;"N"),"●","")</f>
        <v/>
      </c>
      <c r="I136" s="19">
        <f>IF(AND(ISNUMBER(SEARCH(","&amp;I$1&amp;",",","&amp;SUBSTITUTE(Catalogo!$F136," ","")&amp;",")),Catalogo!$H136&lt;&gt;"N"),"●","")</f>
        <v/>
      </c>
      <c r="J136" s="19">
        <f>IF(AND(ISNUMBER(SEARCH(","&amp;J$1&amp;",",","&amp;SUBSTITUTE(Catalogo!$F136," ","")&amp;",")),Catalogo!$H136&lt;&gt;"N"),"●","")</f>
        <v/>
      </c>
      <c r="K136" s="19">
        <f>IF(AND(ISNUMBER(SEARCH(","&amp;K$1&amp;",",","&amp;SUBSTITUTE(Catalogo!$F136," ","")&amp;",")),Catalogo!$H136&lt;&gt;"N"),"●","")</f>
        <v/>
      </c>
      <c r="L136" s="19">
        <f>IF(AND(ISNUMBER(SEARCH(","&amp;L$1&amp;",",","&amp;SUBSTITUTE(Catalogo!$F136," ","")&amp;",")),Catalogo!$H136&lt;&gt;"N"),"●","")</f>
        <v/>
      </c>
      <c r="M136" s="19">
        <f>IF(AND(ISNUMBER(SEARCH(","&amp;M$1&amp;",",","&amp;SUBSTITUTE(Catalogo!$F136," ","")&amp;",")),Catalogo!$H136&lt;&gt;"N"),"●","")</f>
        <v/>
      </c>
    </row>
    <row r="137">
      <c r="A137" s="17">
        <f>Catalogo!A137</f>
        <v/>
      </c>
      <c r="B137" s="17">
        <f>Catalogo!C137</f>
        <v/>
      </c>
      <c r="C137" s="19">
        <f>IF(Catalogo!H137="","(vazio)",Catalogo!H137)</f>
        <v/>
      </c>
      <c r="D137" s="19">
        <f>IF(AND(ISNUMBER(SEARCH(","&amp;D$1&amp;",",","&amp;SUBSTITUTE(Catalogo!$F137," ","")&amp;",")),Catalogo!$H137&lt;&gt;"N"),"●","")</f>
        <v/>
      </c>
      <c r="E137" s="19">
        <f>IF(AND(ISNUMBER(SEARCH(","&amp;E$1&amp;",",","&amp;SUBSTITUTE(Catalogo!$F137," ","")&amp;",")),Catalogo!$H137&lt;&gt;"N"),"●","")</f>
        <v/>
      </c>
      <c r="F137" s="19">
        <f>IF(AND(ISNUMBER(SEARCH(","&amp;F$1&amp;",",","&amp;SUBSTITUTE(Catalogo!$F137," ","")&amp;",")),Catalogo!$H137&lt;&gt;"N"),"●","")</f>
        <v/>
      </c>
      <c r="G137" s="19">
        <f>IF(AND(ISNUMBER(SEARCH(","&amp;G$1&amp;",",","&amp;SUBSTITUTE(Catalogo!$F137," ","")&amp;",")),Catalogo!$H137&lt;&gt;"N"),"●","")</f>
        <v/>
      </c>
      <c r="H137" s="19">
        <f>IF(AND(ISNUMBER(SEARCH(","&amp;H$1&amp;",",","&amp;SUBSTITUTE(Catalogo!$F137," ","")&amp;",")),Catalogo!$H137&lt;&gt;"N"),"●","")</f>
        <v/>
      </c>
      <c r="I137" s="19">
        <f>IF(AND(ISNUMBER(SEARCH(","&amp;I$1&amp;",",","&amp;SUBSTITUTE(Catalogo!$F137," ","")&amp;",")),Catalogo!$H137&lt;&gt;"N"),"●","")</f>
        <v/>
      </c>
      <c r="J137" s="19">
        <f>IF(AND(ISNUMBER(SEARCH(","&amp;J$1&amp;",",","&amp;SUBSTITUTE(Catalogo!$F137," ","")&amp;",")),Catalogo!$H137&lt;&gt;"N"),"●","")</f>
        <v/>
      </c>
      <c r="K137" s="19">
        <f>IF(AND(ISNUMBER(SEARCH(","&amp;K$1&amp;",",","&amp;SUBSTITUTE(Catalogo!$F137," ","")&amp;",")),Catalogo!$H137&lt;&gt;"N"),"●","")</f>
        <v/>
      </c>
      <c r="L137" s="19">
        <f>IF(AND(ISNUMBER(SEARCH(","&amp;L$1&amp;",",","&amp;SUBSTITUTE(Catalogo!$F137," ","")&amp;",")),Catalogo!$H137&lt;&gt;"N"),"●","")</f>
        <v/>
      </c>
      <c r="M137" s="19">
        <f>IF(AND(ISNUMBER(SEARCH(","&amp;M$1&amp;",",","&amp;SUBSTITUTE(Catalogo!$F137," ","")&amp;",")),Catalogo!$H137&lt;&gt;"N"),"●","")</f>
        <v/>
      </c>
    </row>
    <row r="138">
      <c r="A138" s="17">
        <f>Catalogo!A138</f>
        <v/>
      </c>
      <c r="B138" s="17">
        <f>Catalogo!C138</f>
        <v/>
      </c>
      <c r="C138" s="19">
        <f>IF(Catalogo!H138="","(vazio)",Catalogo!H138)</f>
        <v/>
      </c>
      <c r="D138" s="19">
        <f>IF(AND(ISNUMBER(SEARCH(","&amp;D$1&amp;",",","&amp;SUBSTITUTE(Catalogo!$F138," ","")&amp;",")),Catalogo!$H138&lt;&gt;"N"),"●","")</f>
        <v/>
      </c>
      <c r="E138" s="19">
        <f>IF(AND(ISNUMBER(SEARCH(","&amp;E$1&amp;",",","&amp;SUBSTITUTE(Catalogo!$F138," ","")&amp;",")),Catalogo!$H138&lt;&gt;"N"),"●","")</f>
        <v/>
      </c>
      <c r="F138" s="19">
        <f>IF(AND(ISNUMBER(SEARCH(","&amp;F$1&amp;",",","&amp;SUBSTITUTE(Catalogo!$F138," ","")&amp;",")),Catalogo!$H138&lt;&gt;"N"),"●","")</f>
        <v/>
      </c>
      <c r="G138" s="19">
        <f>IF(AND(ISNUMBER(SEARCH(","&amp;G$1&amp;",",","&amp;SUBSTITUTE(Catalogo!$F138," ","")&amp;",")),Catalogo!$H138&lt;&gt;"N"),"●","")</f>
        <v/>
      </c>
      <c r="H138" s="19">
        <f>IF(AND(ISNUMBER(SEARCH(","&amp;H$1&amp;",",","&amp;SUBSTITUTE(Catalogo!$F138," ","")&amp;",")),Catalogo!$H138&lt;&gt;"N"),"●","")</f>
        <v/>
      </c>
      <c r="I138" s="19">
        <f>IF(AND(ISNUMBER(SEARCH(","&amp;I$1&amp;",",","&amp;SUBSTITUTE(Catalogo!$F138," ","")&amp;",")),Catalogo!$H138&lt;&gt;"N"),"●","")</f>
        <v/>
      </c>
      <c r="J138" s="19">
        <f>IF(AND(ISNUMBER(SEARCH(","&amp;J$1&amp;",",","&amp;SUBSTITUTE(Catalogo!$F138," ","")&amp;",")),Catalogo!$H138&lt;&gt;"N"),"●","")</f>
        <v/>
      </c>
      <c r="K138" s="19">
        <f>IF(AND(ISNUMBER(SEARCH(","&amp;K$1&amp;",",","&amp;SUBSTITUTE(Catalogo!$F138," ","")&amp;",")),Catalogo!$H138&lt;&gt;"N"),"●","")</f>
        <v/>
      </c>
      <c r="L138" s="19">
        <f>IF(AND(ISNUMBER(SEARCH(","&amp;L$1&amp;",",","&amp;SUBSTITUTE(Catalogo!$F138," ","")&amp;",")),Catalogo!$H138&lt;&gt;"N"),"●","")</f>
        <v/>
      </c>
      <c r="M138" s="19">
        <f>IF(AND(ISNUMBER(SEARCH(","&amp;M$1&amp;",",","&amp;SUBSTITUTE(Catalogo!$F138," ","")&amp;",")),Catalogo!$H138&lt;&gt;"N"),"●","")</f>
        <v/>
      </c>
    </row>
    <row r="139">
      <c r="A139" s="17">
        <f>Catalogo!A139</f>
        <v/>
      </c>
      <c r="B139" s="17">
        <f>Catalogo!C139</f>
        <v/>
      </c>
      <c r="C139" s="19">
        <f>IF(Catalogo!H139="","(vazio)",Catalogo!H139)</f>
        <v/>
      </c>
      <c r="D139" s="19">
        <f>IF(AND(ISNUMBER(SEARCH(","&amp;D$1&amp;",",","&amp;SUBSTITUTE(Catalogo!$F139," ","")&amp;",")),Catalogo!$H139&lt;&gt;"N"),"●","")</f>
        <v/>
      </c>
      <c r="E139" s="19">
        <f>IF(AND(ISNUMBER(SEARCH(","&amp;E$1&amp;",",","&amp;SUBSTITUTE(Catalogo!$F139," ","")&amp;",")),Catalogo!$H139&lt;&gt;"N"),"●","")</f>
        <v/>
      </c>
      <c r="F139" s="19">
        <f>IF(AND(ISNUMBER(SEARCH(","&amp;F$1&amp;",",","&amp;SUBSTITUTE(Catalogo!$F139," ","")&amp;",")),Catalogo!$H139&lt;&gt;"N"),"●","")</f>
        <v/>
      </c>
      <c r="G139" s="19">
        <f>IF(AND(ISNUMBER(SEARCH(","&amp;G$1&amp;",",","&amp;SUBSTITUTE(Catalogo!$F139," ","")&amp;",")),Catalogo!$H139&lt;&gt;"N"),"●","")</f>
        <v/>
      </c>
      <c r="H139" s="19">
        <f>IF(AND(ISNUMBER(SEARCH(","&amp;H$1&amp;",",","&amp;SUBSTITUTE(Catalogo!$F139," ","")&amp;",")),Catalogo!$H139&lt;&gt;"N"),"●","")</f>
        <v/>
      </c>
      <c r="I139" s="19">
        <f>IF(AND(ISNUMBER(SEARCH(","&amp;I$1&amp;",",","&amp;SUBSTITUTE(Catalogo!$F139," ","")&amp;",")),Catalogo!$H139&lt;&gt;"N"),"●","")</f>
        <v/>
      </c>
      <c r="J139" s="19">
        <f>IF(AND(ISNUMBER(SEARCH(","&amp;J$1&amp;",",","&amp;SUBSTITUTE(Catalogo!$F139," ","")&amp;",")),Catalogo!$H139&lt;&gt;"N"),"●","")</f>
        <v/>
      </c>
      <c r="K139" s="19">
        <f>IF(AND(ISNUMBER(SEARCH(","&amp;K$1&amp;",",","&amp;SUBSTITUTE(Catalogo!$F139," ","")&amp;",")),Catalogo!$H139&lt;&gt;"N"),"●","")</f>
        <v/>
      </c>
      <c r="L139" s="19">
        <f>IF(AND(ISNUMBER(SEARCH(","&amp;L$1&amp;",",","&amp;SUBSTITUTE(Catalogo!$F139," ","")&amp;",")),Catalogo!$H139&lt;&gt;"N"),"●","")</f>
        <v/>
      </c>
      <c r="M139" s="19">
        <f>IF(AND(ISNUMBER(SEARCH(","&amp;M$1&amp;",",","&amp;SUBSTITUTE(Catalogo!$F139," ","")&amp;",")),Catalogo!$H139&lt;&gt;"N"),"●","")</f>
        <v/>
      </c>
    </row>
    <row r="140">
      <c r="A140" s="17">
        <f>Catalogo!A140</f>
        <v/>
      </c>
      <c r="B140" s="17">
        <f>Catalogo!C140</f>
        <v/>
      </c>
      <c r="C140" s="19">
        <f>IF(Catalogo!H140="","(vazio)",Catalogo!H140)</f>
        <v/>
      </c>
      <c r="D140" s="19">
        <f>IF(AND(ISNUMBER(SEARCH(","&amp;D$1&amp;",",","&amp;SUBSTITUTE(Catalogo!$F140," ","")&amp;",")),Catalogo!$H140&lt;&gt;"N"),"●","")</f>
        <v/>
      </c>
      <c r="E140" s="19">
        <f>IF(AND(ISNUMBER(SEARCH(","&amp;E$1&amp;",",","&amp;SUBSTITUTE(Catalogo!$F140," ","")&amp;",")),Catalogo!$H140&lt;&gt;"N"),"●","")</f>
        <v/>
      </c>
      <c r="F140" s="19">
        <f>IF(AND(ISNUMBER(SEARCH(","&amp;F$1&amp;",",","&amp;SUBSTITUTE(Catalogo!$F140," ","")&amp;",")),Catalogo!$H140&lt;&gt;"N"),"●","")</f>
        <v/>
      </c>
      <c r="G140" s="19">
        <f>IF(AND(ISNUMBER(SEARCH(","&amp;G$1&amp;",",","&amp;SUBSTITUTE(Catalogo!$F140," ","")&amp;",")),Catalogo!$H140&lt;&gt;"N"),"●","")</f>
        <v/>
      </c>
      <c r="H140" s="19">
        <f>IF(AND(ISNUMBER(SEARCH(","&amp;H$1&amp;",",","&amp;SUBSTITUTE(Catalogo!$F140," ","")&amp;",")),Catalogo!$H140&lt;&gt;"N"),"●","")</f>
        <v/>
      </c>
      <c r="I140" s="19">
        <f>IF(AND(ISNUMBER(SEARCH(","&amp;I$1&amp;",",","&amp;SUBSTITUTE(Catalogo!$F140," ","")&amp;",")),Catalogo!$H140&lt;&gt;"N"),"●","")</f>
        <v/>
      </c>
      <c r="J140" s="19">
        <f>IF(AND(ISNUMBER(SEARCH(","&amp;J$1&amp;",",","&amp;SUBSTITUTE(Catalogo!$F140," ","")&amp;",")),Catalogo!$H140&lt;&gt;"N"),"●","")</f>
        <v/>
      </c>
      <c r="K140" s="19">
        <f>IF(AND(ISNUMBER(SEARCH(","&amp;K$1&amp;",",","&amp;SUBSTITUTE(Catalogo!$F140," ","")&amp;",")),Catalogo!$H140&lt;&gt;"N"),"●","")</f>
        <v/>
      </c>
      <c r="L140" s="19">
        <f>IF(AND(ISNUMBER(SEARCH(","&amp;L$1&amp;",",","&amp;SUBSTITUTE(Catalogo!$F140," ","")&amp;",")),Catalogo!$H140&lt;&gt;"N"),"●","")</f>
        <v/>
      </c>
      <c r="M140" s="19">
        <f>IF(AND(ISNUMBER(SEARCH(","&amp;M$1&amp;",",","&amp;SUBSTITUTE(Catalogo!$F140," ","")&amp;",")),Catalogo!$H140&lt;&gt;"N"),"●","")</f>
        <v/>
      </c>
    </row>
    <row r="141">
      <c r="A141" s="17">
        <f>Catalogo!A141</f>
        <v/>
      </c>
      <c r="B141" s="17">
        <f>Catalogo!C141</f>
        <v/>
      </c>
      <c r="C141" s="19">
        <f>IF(Catalogo!H141="","(vazio)",Catalogo!H141)</f>
        <v/>
      </c>
      <c r="D141" s="19">
        <f>IF(AND(ISNUMBER(SEARCH(","&amp;D$1&amp;",",","&amp;SUBSTITUTE(Catalogo!$F141," ","")&amp;",")),Catalogo!$H141&lt;&gt;"N"),"●","")</f>
        <v/>
      </c>
      <c r="E141" s="19">
        <f>IF(AND(ISNUMBER(SEARCH(","&amp;E$1&amp;",",","&amp;SUBSTITUTE(Catalogo!$F141," ","")&amp;",")),Catalogo!$H141&lt;&gt;"N"),"●","")</f>
        <v/>
      </c>
      <c r="F141" s="19">
        <f>IF(AND(ISNUMBER(SEARCH(","&amp;F$1&amp;",",","&amp;SUBSTITUTE(Catalogo!$F141," ","")&amp;",")),Catalogo!$H141&lt;&gt;"N"),"●","")</f>
        <v/>
      </c>
      <c r="G141" s="19">
        <f>IF(AND(ISNUMBER(SEARCH(","&amp;G$1&amp;",",","&amp;SUBSTITUTE(Catalogo!$F141," ","")&amp;",")),Catalogo!$H141&lt;&gt;"N"),"●","")</f>
        <v/>
      </c>
      <c r="H141" s="19">
        <f>IF(AND(ISNUMBER(SEARCH(","&amp;H$1&amp;",",","&amp;SUBSTITUTE(Catalogo!$F141," ","")&amp;",")),Catalogo!$H141&lt;&gt;"N"),"●","")</f>
        <v/>
      </c>
      <c r="I141" s="19">
        <f>IF(AND(ISNUMBER(SEARCH(","&amp;I$1&amp;",",","&amp;SUBSTITUTE(Catalogo!$F141," ","")&amp;",")),Catalogo!$H141&lt;&gt;"N"),"●","")</f>
        <v/>
      </c>
      <c r="J141" s="19">
        <f>IF(AND(ISNUMBER(SEARCH(","&amp;J$1&amp;",",","&amp;SUBSTITUTE(Catalogo!$F141," ","")&amp;",")),Catalogo!$H141&lt;&gt;"N"),"●","")</f>
        <v/>
      </c>
      <c r="K141" s="19">
        <f>IF(AND(ISNUMBER(SEARCH(","&amp;K$1&amp;",",","&amp;SUBSTITUTE(Catalogo!$F141," ","")&amp;",")),Catalogo!$H141&lt;&gt;"N"),"●","")</f>
        <v/>
      </c>
      <c r="L141" s="19">
        <f>IF(AND(ISNUMBER(SEARCH(","&amp;L$1&amp;",",","&amp;SUBSTITUTE(Catalogo!$F141," ","")&amp;",")),Catalogo!$H141&lt;&gt;"N"),"●","")</f>
        <v/>
      </c>
      <c r="M141" s="19">
        <f>IF(AND(ISNUMBER(SEARCH(","&amp;M$1&amp;",",","&amp;SUBSTITUTE(Catalogo!$F141," ","")&amp;",")),Catalogo!$H141&lt;&gt;"N"),"●","")</f>
        <v/>
      </c>
    </row>
    <row r="142">
      <c r="A142" s="17">
        <f>Catalogo!A142</f>
        <v/>
      </c>
      <c r="B142" s="17">
        <f>Catalogo!C142</f>
        <v/>
      </c>
      <c r="C142" s="19">
        <f>IF(Catalogo!H142="","(vazio)",Catalogo!H142)</f>
        <v/>
      </c>
      <c r="D142" s="19">
        <f>IF(AND(ISNUMBER(SEARCH(","&amp;D$1&amp;",",","&amp;SUBSTITUTE(Catalogo!$F142," ","")&amp;",")),Catalogo!$H142&lt;&gt;"N"),"●","")</f>
        <v/>
      </c>
      <c r="E142" s="19">
        <f>IF(AND(ISNUMBER(SEARCH(","&amp;E$1&amp;",",","&amp;SUBSTITUTE(Catalogo!$F142," ","")&amp;",")),Catalogo!$H142&lt;&gt;"N"),"●","")</f>
        <v/>
      </c>
      <c r="F142" s="19">
        <f>IF(AND(ISNUMBER(SEARCH(","&amp;F$1&amp;",",","&amp;SUBSTITUTE(Catalogo!$F142," ","")&amp;",")),Catalogo!$H142&lt;&gt;"N"),"●","")</f>
        <v/>
      </c>
      <c r="G142" s="19">
        <f>IF(AND(ISNUMBER(SEARCH(","&amp;G$1&amp;",",","&amp;SUBSTITUTE(Catalogo!$F142," ","")&amp;",")),Catalogo!$H142&lt;&gt;"N"),"●","")</f>
        <v/>
      </c>
      <c r="H142" s="19">
        <f>IF(AND(ISNUMBER(SEARCH(","&amp;H$1&amp;",",","&amp;SUBSTITUTE(Catalogo!$F142," ","")&amp;",")),Catalogo!$H142&lt;&gt;"N"),"●","")</f>
        <v/>
      </c>
      <c r="I142" s="19">
        <f>IF(AND(ISNUMBER(SEARCH(","&amp;I$1&amp;",",","&amp;SUBSTITUTE(Catalogo!$F142," ","")&amp;",")),Catalogo!$H142&lt;&gt;"N"),"●","")</f>
        <v/>
      </c>
      <c r="J142" s="19">
        <f>IF(AND(ISNUMBER(SEARCH(","&amp;J$1&amp;",",","&amp;SUBSTITUTE(Catalogo!$F142," ","")&amp;",")),Catalogo!$H142&lt;&gt;"N"),"●","")</f>
        <v/>
      </c>
      <c r="K142" s="19">
        <f>IF(AND(ISNUMBER(SEARCH(","&amp;K$1&amp;",",","&amp;SUBSTITUTE(Catalogo!$F142," ","")&amp;",")),Catalogo!$H142&lt;&gt;"N"),"●","")</f>
        <v/>
      </c>
      <c r="L142" s="19">
        <f>IF(AND(ISNUMBER(SEARCH(","&amp;L$1&amp;",",","&amp;SUBSTITUTE(Catalogo!$F142," ","")&amp;",")),Catalogo!$H142&lt;&gt;"N"),"●","")</f>
        <v/>
      </c>
      <c r="M142" s="19">
        <f>IF(AND(ISNUMBER(SEARCH(","&amp;M$1&amp;",",","&amp;SUBSTITUTE(Catalogo!$F142," ","")&amp;",")),Catalogo!$H142&lt;&gt;"N"),"●","")</f>
        <v/>
      </c>
    </row>
    <row r="143">
      <c r="A143" s="17">
        <f>Catalogo!A143</f>
        <v/>
      </c>
      <c r="B143" s="17">
        <f>Catalogo!C143</f>
        <v/>
      </c>
      <c r="C143" s="19">
        <f>IF(Catalogo!H143="","(vazio)",Catalogo!H143)</f>
        <v/>
      </c>
      <c r="D143" s="19">
        <f>IF(AND(ISNUMBER(SEARCH(","&amp;D$1&amp;",",","&amp;SUBSTITUTE(Catalogo!$F143," ","")&amp;",")),Catalogo!$H143&lt;&gt;"N"),"●","")</f>
        <v/>
      </c>
      <c r="E143" s="19">
        <f>IF(AND(ISNUMBER(SEARCH(","&amp;E$1&amp;",",","&amp;SUBSTITUTE(Catalogo!$F143," ","")&amp;",")),Catalogo!$H143&lt;&gt;"N"),"●","")</f>
        <v/>
      </c>
      <c r="F143" s="19">
        <f>IF(AND(ISNUMBER(SEARCH(","&amp;F$1&amp;",",","&amp;SUBSTITUTE(Catalogo!$F143," ","")&amp;",")),Catalogo!$H143&lt;&gt;"N"),"●","")</f>
        <v/>
      </c>
      <c r="G143" s="19">
        <f>IF(AND(ISNUMBER(SEARCH(","&amp;G$1&amp;",",","&amp;SUBSTITUTE(Catalogo!$F143," ","")&amp;",")),Catalogo!$H143&lt;&gt;"N"),"●","")</f>
        <v/>
      </c>
      <c r="H143" s="19">
        <f>IF(AND(ISNUMBER(SEARCH(","&amp;H$1&amp;",",","&amp;SUBSTITUTE(Catalogo!$F143," ","")&amp;",")),Catalogo!$H143&lt;&gt;"N"),"●","")</f>
        <v/>
      </c>
      <c r="I143" s="19">
        <f>IF(AND(ISNUMBER(SEARCH(","&amp;I$1&amp;",",","&amp;SUBSTITUTE(Catalogo!$F143," ","")&amp;",")),Catalogo!$H143&lt;&gt;"N"),"●","")</f>
        <v/>
      </c>
      <c r="J143" s="19">
        <f>IF(AND(ISNUMBER(SEARCH(","&amp;J$1&amp;",",","&amp;SUBSTITUTE(Catalogo!$F143," ","")&amp;",")),Catalogo!$H143&lt;&gt;"N"),"●","")</f>
        <v/>
      </c>
      <c r="K143" s="19">
        <f>IF(AND(ISNUMBER(SEARCH(","&amp;K$1&amp;",",","&amp;SUBSTITUTE(Catalogo!$F143," ","")&amp;",")),Catalogo!$H143&lt;&gt;"N"),"●","")</f>
        <v/>
      </c>
      <c r="L143" s="19">
        <f>IF(AND(ISNUMBER(SEARCH(","&amp;L$1&amp;",",","&amp;SUBSTITUTE(Catalogo!$F143," ","")&amp;",")),Catalogo!$H143&lt;&gt;"N"),"●","")</f>
        <v/>
      </c>
      <c r="M143" s="19">
        <f>IF(AND(ISNUMBER(SEARCH(","&amp;M$1&amp;",",","&amp;SUBSTITUTE(Catalogo!$F143," ","")&amp;",")),Catalogo!$H143&lt;&gt;"N"),"●","")</f>
        <v/>
      </c>
    </row>
    <row r="144">
      <c r="A144" s="17">
        <f>Catalogo!A144</f>
        <v/>
      </c>
      <c r="B144" s="17">
        <f>Catalogo!C144</f>
        <v/>
      </c>
      <c r="C144" s="19">
        <f>IF(Catalogo!H144="","(vazio)",Catalogo!H144)</f>
        <v/>
      </c>
      <c r="D144" s="19">
        <f>IF(AND(ISNUMBER(SEARCH(","&amp;D$1&amp;",",","&amp;SUBSTITUTE(Catalogo!$F144," ","")&amp;",")),Catalogo!$H144&lt;&gt;"N"),"●","")</f>
        <v/>
      </c>
      <c r="E144" s="19">
        <f>IF(AND(ISNUMBER(SEARCH(","&amp;E$1&amp;",",","&amp;SUBSTITUTE(Catalogo!$F144," ","")&amp;",")),Catalogo!$H144&lt;&gt;"N"),"●","")</f>
        <v/>
      </c>
      <c r="F144" s="19">
        <f>IF(AND(ISNUMBER(SEARCH(","&amp;F$1&amp;",",","&amp;SUBSTITUTE(Catalogo!$F144," ","")&amp;",")),Catalogo!$H144&lt;&gt;"N"),"●","")</f>
        <v/>
      </c>
      <c r="G144" s="19">
        <f>IF(AND(ISNUMBER(SEARCH(","&amp;G$1&amp;",",","&amp;SUBSTITUTE(Catalogo!$F144," ","")&amp;",")),Catalogo!$H144&lt;&gt;"N"),"●","")</f>
        <v/>
      </c>
      <c r="H144" s="19">
        <f>IF(AND(ISNUMBER(SEARCH(","&amp;H$1&amp;",",","&amp;SUBSTITUTE(Catalogo!$F144," ","")&amp;",")),Catalogo!$H144&lt;&gt;"N"),"●","")</f>
        <v/>
      </c>
      <c r="I144" s="19">
        <f>IF(AND(ISNUMBER(SEARCH(","&amp;I$1&amp;",",","&amp;SUBSTITUTE(Catalogo!$F144," ","")&amp;",")),Catalogo!$H144&lt;&gt;"N"),"●","")</f>
        <v/>
      </c>
      <c r="J144" s="19">
        <f>IF(AND(ISNUMBER(SEARCH(","&amp;J$1&amp;",",","&amp;SUBSTITUTE(Catalogo!$F144," ","")&amp;",")),Catalogo!$H144&lt;&gt;"N"),"●","")</f>
        <v/>
      </c>
      <c r="K144" s="19">
        <f>IF(AND(ISNUMBER(SEARCH(","&amp;K$1&amp;",",","&amp;SUBSTITUTE(Catalogo!$F144," ","")&amp;",")),Catalogo!$H144&lt;&gt;"N"),"●","")</f>
        <v/>
      </c>
      <c r="L144" s="19">
        <f>IF(AND(ISNUMBER(SEARCH(","&amp;L$1&amp;",",","&amp;SUBSTITUTE(Catalogo!$F144," ","")&amp;",")),Catalogo!$H144&lt;&gt;"N"),"●","")</f>
        <v/>
      </c>
      <c r="M144" s="19">
        <f>IF(AND(ISNUMBER(SEARCH(","&amp;M$1&amp;",",","&amp;SUBSTITUTE(Catalogo!$F144," ","")&amp;",")),Catalogo!$H144&lt;&gt;"N"),"●","")</f>
        <v/>
      </c>
    </row>
    <row r="145">
      <c r="A145" s="17">
        <f>Catalogo!A145</f>
        <v/>
      </c>
      <c r="B145" s="17">
        <f>Catalogo!C145</f>
        <v/>
      </c>
      <c r="C145" s="19">
        <f>IF(Catalogo!H145="","(vazio)",Catalogo!H145)</f>
        <v/>
      </c>
      <c r="D145" s="19">
        <f>IF(AND(ISNUMBER(SEARCH(","&amp;D$1&amp;",",","&amp;SUBSTITUTE(Catalogo!$F145," ","")&amp;",")),Catalogo!$H145&lt;&gt;"N"),"●","")</f>
        <v/>
      </c>
      <c r="E145" s="19">
        <f>IF(AND(ISNUMBER(SEARCH(","&amp;E$1&amp;",",","&amp;SUBSTITUTE(Catalogo!$F145," ","")&amp;",")),Catalogo!$H145&lt;&gt;"N"),"●","")</f>
        <v/>
      </c>
      <c r="F145" s="19">
        <f>IF(AND(ISNUMBER(SEARCH(","&amp;F$1&amp;",",","&amp;SUBSTITUTE(Catalogo!$F145," ","")&amp;",")),Catalogo!$H145&lt;&gt;"N"),"●","")</f>
        <v/>
      </c>
      <c r="G145" s="19">
        <f>IF(AND(ISNUMBER(SEARCH(","&amp;G$1&amp;",",","&amp;SUBSTITUTE(Catalogo!$F145," ","")&amp;",")),Catalogo!$H145&lt;&gt;"N"),"●","")</f>
        <v/>
      </c>
      <c r="H145" s="19">
        <f>IF(AND(ISNUMBER(SEARCH(","&amp;H$1&amp;",",","&amp;SUBSTITUTE(Catalogo!$F145," ","")&amp;",")),Catalogo!$H145&lt;&gt;"N"),"●","")</f>
        <v/>
      </c>
      <c r="I145" s="19">
        <f>IF(AND(ISNUMBER(SEARCH(","&amp;I$1&amp;",",","&amp;SUBSTITUTE(Catalogo!$F145," ","")&amp;",")),Catalogo!$H145&lt;&gt;"N"),"●","")</f>
        <v/>
      </c>
      <c r="J145" s="19">
        <f>IF(AND(ISNUMBER(SEARCH(","&amp;J$1&amp;",",","&amp;SUBSTITUTE(Catalogo!$F145," ","")&amp;",")),Catalogo!$H145&lt;&gt;"N"),"●","")</f>
        <v/>
      </c>
      <c r="K145" s="19">
        <f>IF(AND(ISNUMBER(SEARCH(","&amp;K$1&amp;",",","&amp;SUBSTITUTE(Catalogo!$F145," ","")&amp;",")),Catalogo!$H145&lt;&gt;"N"),"●","")</f>
        <v/>
      </c>
      <c r="L145" s="19">
        <f>IF(AND(ISNUMBER(SEARCH(","&amp;L$1&amp;",",","&amp;SUBSTITUTE(Catalogo!$F145," ","")&amp;",")),Catalogo!$H145&lt;&gt;"N"),"●","")</f>
        <v/>
      </c>
      <c r="M145" s="19">
        <f>IF(AND(ISNUMBER(SEARCH(","&amp;M$1&amp;",",","&amp;SUBSTITUTE(Catalogo!$F145," ","")&amp;",")),Catalogo!$H145&lt;&gt;"N"),"●","")</f>
        <v/>
      </c>
    </row>
    <row r="146">
      <c r="A146" s="17">
        <f>Catalogo!A146</f>
        <v/>
      </c>
      <c r="B146" s="17">
        <f>Catalogo!C146</f>
        <v/>
      </c>
      <c r="C146" s="19">
        <f>IF(Catalogo!H146="","(vazio)",Catalogo!H146)</f>
        <v/>
      </c>
      <c r="D146" s="19">
        <f>IF(AND(ISNUMBER(SEARCH(","&amp;D$1&amp;",",","&amp;SUBSTITUTE(Catalogo!$F146," ","")&amp;",")),Catalogo!$H146&lt;&gt;"N"),"●","")</f>
        <v/>
      </c>
      <c r="E146" s="19">
        <f>IF(AND(ISNUMBER(SEARCH(","&amp;E$1&amp;",",","&amp;SUBSTITUTE(Catalogo!$F146," ","")&amp;",")),Catalogo!$H146&lt;&gt;"N"),"●","")</f>
        <v/>
      </c>
      <c r="F146" s="19">
        <f>IF(AND(ISNUMBER(SEARCH(","&amp;F$1&amp;",",","&amp;SUBSTITUTE(Catalogo!$F146," ","")&amp;",")),Catalogo!$H146&lt;&gt;"N"),"●","")</f>
        <v/>
      </c>
      <c r="G146" s="19">
        <f>IF(AND(ISNUMBER(SEARCH(","&amp;G$1&amp;",",","&amp;SUBSTITUTE(Catalogo!$F146," ","")&amp;",")),Catalogo!$H146&lt;&gt;"N"),"●","")</f>
        <v/>
      </c>
      <c r="H146" s="19">
        <f>IF(AND(ISNUMBER(SEARCH(","&amp;H$1&amp;",",","&amp;SUBSTITUTE(Catalogo!$F146," ","")&amp;",")),Catalogo!$H146&lt;&gt;"N"),"●","")</f>
        <v/>
      </c>
      <c r="I146" s="19">
        <f>IF(AND(ISNUMBER(SEARCH(","&amp;I$1&amp;",",","&amp;SUBSTITUTE(Catalogo!$F146," ","")&amp;",")),Catalogo!$H146&lt;&gt;"N"),"●","")</f>
        <v/>
      </c>
      <c r="J146" s="19">
        <f>IF(AND(ISNUMBER(SEARCH(","&amp;J$1&amp;",",","&amp;SUBSTITUTE(Catalogo!$F146," ","")&amp;",")),Catalogo!$H146&lt;&gt;"N"),"●","")</f>
        <v/>
      </c>
      <c r="K146" s="19">
        <f>IF(AND(ISNUMBER(SEARCH(","&amp;K$1&amp;",",","&amp;SUBSTITUTE(Catalogo!$F146," ","")&amp;",")),Catalogo!$H146&lt;&gt;"N"),"●","")</f>
        <v/>
      </c>
      <c r="L146" s="19">
        <f>IF(AND(ISNUMBER(SEARCH(","&amp;L$1&amp;",",","&amp;SUBSTITUTE(Catalogo!$F146," ","")&amp;",")),Catalogo!$H146&lt;&gt;"N"),"●","")</f>
        <v/>
      </c>
      <c r="M146" s="19">
        <f>IF(AND(ISNUMBER(SEARCH(","&amp;M$1&amp;",",","&amp;SUBSTITUTE(Catalogo!$F146," ","")&amp;",")),Catalogo!$H146&lt;&gt;"N"),"●","")</f>
        <v/>
      </c>
    </row>
    <row r="147">
      <c r="A147" s="17">
        <f>Catalogo!A147</f>
        <v/>
      </c>
      <c r="B147" s="17">
        <f>Catalogo!C147</f>
        <v/>
      </c>
      <c r="C147" s="19">
        <f>IF(Catalogo!H147="","(vazio)",Catalogo!H147)</f>
        <v/>
      </c>
      <c r="D147" s="19">
        <f>IF(AND(ISNUMBER(SEARCH(","&amp;D$1&amp;",",","&amp;SUBSTITUTE(Catalogo!$F147," ","")&amp;",")),Catalogo!$H147&lt;&gt;"N"),"●","")</f>
        <v/>
      </c>
      <c r="E147" s="19">
        <f>IF(AND(ISNUMBER(SEARCH(","&amp;E$1&amp;",",","&amp;SUBSTITUTE(Catalogo!$F147," ","")&amp;",")),Catalogo!$H147&lt;&gt;"N"),"●","")</f>
        <v/>
      </c>
      <c r="F147" s="19">
        <f>IF(AND(ISNUMBER(SEARCH(","&amp;F$1&amp;",",","&amp;SUBSTITUTE(Catalogo!$F147," ","")&amp;",")),Catalogo!$H147&lt;&gt;"N"),"●","")</f>
        <v/>
      </c>
      <c r="G147" s="19">
        <f>IF(AND(ISNUMBER(SEARCH(","&amp;G$1&amp;",",","&amp;SUBSTITUTE(Catalogo!$F147," ","")&amp;",")),Catalogo!$H147&lt;&gt;"N"),"●","")</f>
        <v/>
      </c>
      <c r="H147" s="19">
        <f>IF(AND(ISNUMBER(SEARCH(","&amp;H$1&amp;",",","&amp;SUBSTITUTE(Catalogo!$F147," ","")&amp;",")),Catalogo!$H147&lt;&gt;"N"),"●","")</f>
        <v/>
      </c>
      <c r="I147" s="19">
        <f>IF(AND(ISNUMBER(SEARCH(","&amp;I$1&amp;",",","&amp;SUBSTITUTE(Catalogo!$F147," ","")&amp;",")),Catalogo!$H147&lt;&gt;"N"),"●","")</f>
        <v/>
      </c>
      <c r="J147" s="19">
        <f>IF(AND(ISNUMBER(SEARCH(","&amp;J$1&amp;",",","&amp;SUBSTITUTE(Catalogo!$F147," ","")&amp;",")),Catalogo!$H147&lt;&gt;"N"),"●","")</f>
        <v/>
      </c>
      <c r="K147" s="19">
        <f>IF(AND(ISNUMBER(SEARCH(","&amp;K$1&amp;",",","&amp;SUBSTITUTE(Catalogo!$F147," ","")&amp;",")),Catalogo!$H147&lt;&gt;"N"),"●","")</f>
        <v/>
      </c>
      <c r="L147" s="19">
        <f>IF(AND(ISNUMBER(SEARCH(","&amp;L$1&amp;",",","&amp;SUBSTITUTE(Catalogo!$F147," ","")&amp;",")),Catalogo!$H147&lt;&gt;"N"),"●","")</f>
        <v/>
      </c>
      <c r="M147" s="19">
        <f>IF(AND(ISNUMBER(SEARCH(","&amp;M$1&amp;",",","&amp;SUBSTITUTE(Catalogo!$F147," ","")&amp;",")),Catalogo!$H147&lt;&gt;"N"),"●","")</f>
        <v/>
      </c>
    </row>
    <row r="148">
      <c r="A148" s="17">
        <f>Catalogo!A148</f>
        <v/>
      </c>
      <c r="B148" s="17">
        <f>Catalogo!C148</f>
        <v/>
      </c>
      <c r="C148" s="19">
        <f>IF(Catalogo!H148="","(vazio)",Catalogo!H148)</f>
        <v/>
      </c>
      <c r="D148" s="19">
        <f>IF(AND(ISNUMBER(SEARCH(","&amp;D$1&amp;",",","&amp;SUBSTITUTE(Catalogo!$F148," ","")&amp;",")),Catalogo!$H148&lt;&gt;"N"),"●","")</f>
        <v/>
      </c>
      <c r="E148" s="19">
        <f>IF(AND(ISNUMBER(SEARCH(","&amp;E$1&amp;",",","&amp;SUBSTITUTE(Catalogo!$F148," ","")&amp;",")),Catalogo!$H148&lt;&gt;"N"),"●","")</f>
        <v/>
      </c>
      <c r="F148" s="19">
        <f>IF(AND(ISNUMBER(SEARCH(","&amp;F$1&amp;",",","&amp;SUBSTITUTE(Catalogo!$F148," ","")&amp;",")),Catalogo!$H148&lt;&gt;"N"),"●","")</f>
        <v/>
      </c>
      <c r="G148" s="19">
        <f>IF(AND(ISNUMBER(SEARCH(","&amp;G$1&amp;",",","&amp;SUBSTITUTE(Catalogo!$F148," ","")&amp;",")),Catalogo!$H148&lt;&gt;"N"),"●","")</f>
        <v/>
      </c>
      <c r="H148" s="19">
        <f>IF(AND(ISNUMBER(SEARCH(","&amp;H$1&amp;",",","&amp;SUBSTITUTE(Catalogo!$F148," ","")&amp;",")),Catalogo!$H148&lt;&gt;"N"),"●","")</f>
        <v/>
      </c>
      <c r="I148" s="19">
        <f>IF(AND(ISNUMBER(SEARCH(","&amp;I$1&amp;",",","&amp;SUBSTITUTE(Catalogo!$F148," ","")&amp;",")),Catalogo!$H148&lt;&gt;"N"),"●","")</f>
        <v/>
      </c>
      <c r="J148" s="19">
        <f>IF(AND(ISNUMBER(SEARCH(","&amp;J$1&amp;",",","&amp;SUBSTITUTE(Catalogo!$F148," ","")&amp;",")),Catalogo!$H148&lt;&gt;"N"),"●","")</f>
        <v/>
      </c>
      <c r="K148" s="19">
        <f>IF(AND(ISNUMBER(SEARCH(","&amp;K$1&amp;",",","&amp;SUBSTITUTE(Catalogo!$F148," ","")&amp;",")),Catalogo!$H148&lt;&gt;"N"),"●","")</f>
        <v/>
      </c>
      <c r="L148" s="19">
        <f>IF(AND(ISNUMBER(SEARCH(","&amp;L$1&amp;",",","&amp;SUBSTITUTE(Catalogo!$F148," ","")&amp;",")),Catalogo!$H148&lt;&gt;"N"),"●","")</f>
        <v/>
      </c>
      <c r="M148" s="19">
        <f>IF(AND(ISNUMBER(SEARCH(","&amp;M$1&amp;",",","&amp;SUBSTITUTE(Catalogo!$F148," ","")&amp;",")),Catalogo!$H148&lt;&gt;"N"),"●","")</f>
        <v/>
      </c>
    </row>
    <row r="149">
      <c r="A149" s="17">
        <f>Catalogo!A149</f>
        <v/>
      </c>
      <c r="B149" s="17">
        <f>Catalogo!C149</f>
        <v/>
      </c>
      <c r="C149" s="19">
        <f>IF(Catalogo!H149="","(vazio)",Catalogo!H149)</f>
        <v/>
      </c>
      <c r="D149" s="19">
        <f>IF(AND(ISNUMBER(SEARCH(","&amp;D$1&amp;",",","&amp;SUBSTITUTE(Catalogo!$F149," ","")&amp;",")),Catalogo!$H149&lt;&gt;"N"),"●","")</f>
        <v/>
      </c>
      <c r="E149" s="19">
        <f>IF(AND(ISNUMBER(SEARCH(","&amp;E$1&amp;",",","&amp;SUBSTITUTE(Catalogo!$F149," ","")&amp;",")),Catalogo!$H149&lt;&gt;"N"),"●","")</f>
        <v/>
      </c>
      <c r="F149" s="19">
        <f>IF(AND(ISNUMBER(SEARCH(","&amp;F$1&amp;",",","&amp;SUBSTITUTE(Catalogo!$F149," ","")&amp;",")),Catalogo!$H149&lt;&gt;"N"),"●","")</f>
        <v/>
      </c>
      <c r="G149" s="19">
        <f>IF(AND(ISNUMBER(SEARCH(","&amp;G$1&amp;",",","&amp;SUBSTITUTE(Catalogo!$F149," ","")&amp;",")),Catalogo!$H149&lt;&gt;"N"),"●","")</f>
        <v/>
      </c>
      <c r="H149" s="19">
        <f>IF(AND(ISNUMBER(SEARCH(","&amp;H$1&amp;",",","&amp;SUBSTITUTE(Catalogo!$F149," ","")&amp;",")),Catalogo!$H149&lt;&gt;"N"),"●","")</f>
        <v/>
      </c>
      <c r="I149" s="19">
        <f>IF(AND(ISNUMBER(SEARCH(","&amp;I$1&amp;",",","&amp;SUBSTITUTE(Catalogo!$F149," ","")&amp;",")),Catalogo!$H149&lt;&gt;"N"),"●","")</f>
        <v/>
      </c>
      <c r="J149" s="19">
        <f>IF(AND(ISNUMBER(SEARCH(","&amp;J$1&amp;",",","&amp;SUBSTITUTE(Catalogo!$F149," ","")&amp;",")),Catalogo!$H149&lt;&gt;"N"),"●","")</f>
        <v/>
      </c>
      <c r="K149" s="19">
        <f>IF(AND(ISNUMBER(SEARCH(","&amp;K$1&amp;",",","&amp;SUBSTITUTE(Catalogo!$F149," ","")&amp;",")),Catalogo!$H149&lt;&gt;"N"),"●","")</f>
        <v/>
      </c>
      <c r="L149" s="19">
        <f>IF(AND(ISNUMBER(SEARCH(","&amp;L$1&amp;",",","&amp;SUBSTITUTE(Catalogo!$F149," ","")&amp;",")),Catalogo!$H149&lt;&gt;"N"),"●","")</f>
        <v/>
      </c>
      <c r="M149" s="19">
        <f>IF(AND(ISNUMBER(SEARCH(","&amp;M$1&amp;",",","&amp;SUBSTITUTE(Catalogo!$F149," ","")&amp;",")),Catalogo!$H149&lt;&gt;"N"),"●","")</f>
        <v/>
      </c>
    </row>
    <row r="150">
      <c r="A150" s="17">
        <f>Catalogo!A150</f>
        <v/>
      </c>
      <c r="B150" s="17">
        <f>Catalogo!C150</f>
        <v/>
      </c>
      <c r="C150" s="19">
        <f>IF(Catalogo!H150="","(vazio)",Catalogo!H150)</f>
        <v/>
      </c>
      <c r="D150" s="19">
        <f>IF(AND(ISNUMBER(SEARCH(","&amp;D$1&amp;",",","&amp;SUBSTITUTE(Catalogo!$F150," ","")&amp;",")),Catalogo!$H150&lt;&gt;"N"),"●","")</f>
        <v/>
      </c>
      <c r="E150" s="19">
        <f>IF(AND(ISNUMBER(SEARCH(","&amp;E$1&amp;",",","&amp;SUBSTITUTE(Catalogo!$F150," ","")&amp;",")),Catalogo!$H150&lt;&gt;"N"),"●","")</f>
        <v/>
      </c>
      <c r="F150" s="19">
        <f>IF(AND(ISNUMBER(SEARCH(","&amp;F$1&amp;",",","&amp;SUBSTITUTE(Catalogo!$F150," ","")&amp;",")),Catalogo!$H150&lt;&gt;"N"),"●","")</f>
        <v/>
      </c>
      <c r="G150" s="19">
        <f>IF(AND(ISNUMBER(SEARCH(","&amp;G$1&amp;",",","&amp;SUBSTITUTE(Catalogo!$F150," ","")&amp;",")),Catalogo!$H150&lt;&gt;"N"),"●","")</f>
        <v/>
      </c>
      <c r="H150" s="19">
        <f>IF(AND(ISNUMBER(SEARCH(","&amp;H$1&amp;",",","&amp;SUBSTITUTE(Catalogo!$F150," ","")&amp;",")),Catalogo!$H150&lt;&gt;"N"),"●","")</f>
        <v/>
      </c>
      <c r="I150" s="19">
        <f>IF(AND(ISNUMBER(SEARCH(","&amp;I$1&amp;",",","&amp;SUBSTITUTE(Catalogo!$F150," ","")&amp;",")),Catalogo!$H150&lt;&gt;"N"),"●","")</f>
        <v/>
      </c>
      <c r="J150" s="19">
        <f>IF(AND(ISNUMBER(SEARCH(","&amp;J$1&amp;",",","&amp;SUBSTITUTE(Catalogo!$F150," ","")&amp;",")),Catalogo!$H150&lt;&gt;"N"),"●","")</f>
        <v/>
      </c>
      <c r="K150" s="19">
        <f>IF(AND(ISNUMBER(SEARCH(","&amp;K$1&amp;",",","&amp;SUBSTITUTE(Catalogo!$F150," ","")&amp;",")),Catalogo!$H150&lt;&gt;"N"),"●","")</f>
        <v/>
      </c>
      <c r="L150" s="19">
        <f>IF(AND(ISNUMBER(SEARCH(","&amp;L$1&amp;",",","&amp;SUBSTITUTE(Catalogo!$F150," ","")&amp;",")),Catalogo!$H150&lt;&gt;"N"),"●","")</f>
        <v/>
      </c>
      <c r="M150" s="19">
        <f>IF(AND(ISNUMBER(SEARCH(","&amp;M$1&amp;",",","&amp;SUBSTITUTE(Catalogo!$F150," ","")&amp;",")),Catalogo!$H150&lt;&gt;"N"),"●","")</f>
        <v/>
      </c>
    </row>
    <row r="151">
      <c r="A151" s="17">
        <f>Catalogo!A151</f>
        <v/>
      </c>
      <c r="B151" s="17">
        <f>Catalogo!C151</f>
        <v/>
      </c>
      <c r="C151" s="19">
        <f>IF(Catalogo!H151="","(vazio)",Catalogo!H151)</f>
        <v/>
      </c>
      <c r="D151" s="19">
        <f>IF(AND(ISNUMBER(SEARCH(","&amp;D$1&amp;",",","&amp;SUBSTITUTE(Catalogo!$F151," ","")&amp;",")),Catalogo!$H151&lt;&gt;"N"),"●","")</f>
        <v/>
      </c>
      <c r="E151" s="19">
        <f>IF(AND(ISNUMBER(SEARCH(","&amp;E$1&amp;",",","&amp;SUBSTITUTE(Catalogo!$F151," ","")&amp;",")),Catalogo!$H151&lt;&gt;"N"),"●","")</f>
        <v/>
      </c>
      <c r="F151" s="19">
        <f>IF(AND(ISNUMBER(SEARCH(","&amp;F$1&amp;",",","&amp;SUBSTITUTE(Catalogo!$F151," ","")&amp;",")),Catalogo!$H151&lt;&gt;"N"),"●","")</f>
        <v/>
      </c>
      <c r="G151" s="19">
        <f>IF(AND(ISNUMBER(SEARCH(","&amp;G$1&amp;",",","&amp;SUBSTITUTE(Catalogo!$F151," ","")&amp;",")),Catalogo!$H151&lt;&gt;"N"),"●","")</f>
        <v/>
      </c>
      <c r="H151" s="19">
        <f>IF(AND(ISNUMBER(SEARCH(","&amp;H$1&amp;",",","&amp;SUBSTITUTE(Catalogo!$F151," ","")&amp;",")),Catalogo!$H151&lt;&gt;"N"),"●","")</f>
        <v/>
      </c>
      <c r="I151" s="19">
        <f>IF(AND(ISNUMBER(SEARCH(","&amp;I$1&amp;",",","&amp;SUBSTITUTE(Catalogo!$F151," ","")&amp;",")),Catalogo!$H151&lt;&gt;"N"),"●","")</f>
        <v/>
      </c>
      <c r="J151" s="19">
        <f>IF(AND(ISNUMBER(SEARCH(","&amp;J$1&amp;",",","&amp;SUBSTITUTE(Catalogo!$F151," ","")&amp;",")),Catalogo!$H151&lt;&gt;"N"),"●","")</f>
        <v/>
      </c>
      <c r="K151" s="19">
        <f>IF(AND(ISNUMBER(SEARCH(","&amp;K$1&amp;",",","&amp;SUBSTITUTE(Catalogo!$F151," ","")&amp;",")),Catalogo!$H151&lt;&gt;"N"),"●","")</f>
        <v/>
      </c>
      <c r="L151" s="19">
        <f>IF(AND(ISNUMBER(SEARCH(","&amp;L$1&amp;",",","&amp;SUBSTITUTE(Catalogo!$F151," ","")&amp;",")),Catalogo!$H151&lt;&gt;"N"),"●","")</f>
        <v/>
      </c>
      <c r="M151" s="19">
        <f>IF(AND(ISNUMBER(SEARCH(","&amp;M$1&amp;",",","&amp;SUBSTITUTE(Catalogo!$F151," ","")&amp;",")),Catalogo!$H151&lt;&gt;"N"),"●","")</f>
        <v/>
      </c>
    </row>
    <row r="152">
      <c r="A152" s="17">
        <f>Catalogo!A152</f>
        <v/>
      </c>
      <c r="B152" s="17">
        <f>Catalogo!C152</f>
        <v/>
      </c>
      <c r="C152" s="19">
        <f>IF(Catalogo!H152="","(vazio)",Catalogo!H152)</f>
        <v/>
      </c>
      <c r="D152" s="19">
        <f>IF(AND(ISNUMBER(SEARCH(","&amp;D$1&amp;",",","&amp;SUBSTITUTE(Catalogo!$F152," ","")&amp;",")),Catalogo!$H152&lt;&gt;"N"),"●","")</f>
        <v/>
      </c>
      <c r="E152" s="19">
        <f>IF(AND(ISNUMBER(SEARCH(","&amp;E$1&amp;",",","&amp;SUBSTITUTE(Catalogo!$F152," ","")&amp;",")),Catalogo!$H152&lt;&gt;"N"),"●","")</f>
        <v/>
      </c>
      <c r="F152" s="19">
        <f>IF(AND(ISNUMBER(SEARCH(","&amp;F$1&amp;",",","&amp;SUBSTITUTE(Catalogo!$F152," ","")&amp;",")),Catalogo!$H152&lt;&gt;"N"),"●","")</f>
        <v/>
      </c>
      <c r="G152" s="19">
        <f>IF(AND(ISNUMBER(SEARCH(","&amp;G$1&amp;",",","&amp;SUBSTITUTE(Catalogo!$F152," ","")&amp;",")),Catalogo!$H152&lt;&gt;"N"),"●","")</f>
        <v/>
      </c>
      <c r="H152" s="19">
        <f>IF(AND(ISNUMBER(SEARCH(","&amp;H$1&amp;",",","&amp;SUBSTITUTE(Catalogo!$F152," ","")&amp;",")),Catalogo!$H152&lt;&gt;"N"),"●","")</f>
        <v/>
      </c>
      <c r="I152" s="19">
        <f>IF(AND(ISNUMBER(SEARCH(","&amp;I$1&amp;",",","&amp;SUBSTITUTE(Catalogo!$F152," ","")&amp;",")),Catalogo!$H152&lt;&gt;"N"),"●","")</f>
        <v/>
      </c>
      <c r="J152" s="19">
        <f>IF(AND(ISNUMBER(SEARCH(","&amp;J$1&amp;",",","&amp;SUBSTITUTE(Catalogo!$F152," ","")&amp;",")),Catalogo!$H152&lt;&gt;"N"),"●","")</f>
        <v/>
      </c>
      <c r="K152" s="19">
        <f>IF(AND(ISNUMBER(SEARCH(","&amp;K$1&amp;",",","&amp;SUBSTITUTE(Catalogo!$F152," ","")&amp;",")),Catalogo!$H152&lt;&gt;"N"),"●","")</f>
        <v/>
      </c>
      <c r="L152" s="19">
        <f>IF(AND(ISNUMBER(SEARCH(","&amp;L$1&amp;",",","&amp;SUBSTITUTE(Catalogo!$F152," ","")&amp;",")),Catalogo!$H152&lt;&gt;"N"),"●","")</f>
        <v/>
      </c>
      <c r="M152" s="19">
        <f>IF(AND(ISNUMBER(SEARCH(","&amp;M$1&amp;",",","&amp;SUBSTITUTE(Catalogo!$F152," ","")&amp;",")),Catalogo!$H152&lt;&gt;"N"),"●","")</f>
        <v/>
      </c>
    </row>
    <row r="153">
      <c r="A153" s="17">
        <f>Catalogo!A153</f>
        <v/>
      </c>
      <c r="B153" s="17">
        <f>Catalogo!C153</f>
        <v/>
      </c>
      <c r="C153" s="19">
        <f>IF(Catalogo!H153="","(vazio)",Catalogo!H153)</f>
        <v/>
      </c>
      <c r="D153" s="19">
        <f>IF(AND(ISNUMBER(SEARCH(","&amp;D$1&amp;",",","&amp;SUBSTITUTE(Catalogo!$F153," ","")&amp;",")),Catalogo!$H153&lt;&gt;"N"),"●","")</f>
        <v/>
      </c>
      <c r="E153" s="19">
        <f>IF(AND(ISNUMBER(SEARCH(","&amp;E$1&amp;",",","&amp;SUBSTITUTE(Catalogo!$F153," ","")&amp;",")),Catalogo!$H153&lt;&gt;"N"),"●","")</f>
        <v/>
      </c>
      <c r="F153" s="19">
        <f>IF(AND(ISNUMBER(SEARCH(","&amp;F$1&amp;",",","&amp;SUBSTITUTE(Catalogo!$F153," ","")&amp;",")),Catalogo!$H153&lt;&gt;"N"),"●","")</f>
        <v/>
      </c>
      <c r="G153" s="19">
        <f>IF(AND(ISNUMBER(SEARCH(","&amp;G$1&amp;",",","&amp;SUBSTITUTE(Catalogo!$F153," ","")&amp;",")),Catalogo!$H153&lt;&gt;"N"),"●","")</f>
        <v/>
      </c>
      <c r="H153" s="19">
        <f>IF(AND(ISNUMBER(SEARCH(","&amp;H$1&amp;",",","&amp;SUBSTITUTE(Catalogo!$F153," ","")&amp;",")),Catalogo!$H153&lt;&gt;"N"),"●","")</f>
        <v/>
      </c>
      <c r="I153" s="19">
        <f>IF(AND(ISNUMBER(SEARCH(","&amp;I$1&amp;",",","&amp;SUBSTITUTE(Catalogo!$F153," ","")&amp;",")),Catalogo!$H153&lt;&gt;"N"),"●","")</f>
        <v/>
      </c>
      <c r="J153" s="19">
        <f>IF(AND(ISNUMBER(SEARCH(","&amp;J$1&amp;",",","&amp;SUBSTITUTE(Catalogo!$F153," ","")&amp;",")),Catalogo!$H153&lt;&gt;"N"),"●","")</f>
        <v/>
      </c>
      <c r="K153" s="19">
        <f>IF(AND(ISNUMBER(SEARCH(","&amp;K$1&amp;",",","&amp;SUBSTITUTE(Catalogo!$F153," ","")&amp;",")),Catalogo!$H153&lt;&gt;"N"),"●","")</f>
        <v/>
      </c>
      <c r="L153" s="19">
        <f>IF(AND(ISNUMBER(SEARCH(","&amp;L$1&amp;",",","&amp;SUBSTITUTE(Catalogo!$F153," ","")&amp;",")),Catalogo!$H153&lt;&gt;"N"),"●","")</f>
        <v/>
      </c>
      <c r="M153" s="19">
        <f>IF(AND(ISNUMBER(SEARCH(","&amp;M$1&amp;",",","&amp;SUBSTITUTE(Catalogo!$F153," ","")&amp;",")),Catalogo!$H153&lt;&gt;"N"),"●","")</f>
        <v/>
      </c>
    </row>
    <row r="154">
      <c r="A154" s="17">
        <f>Catalogo!A154</f>
        <v/>
      </c>
      <c r="B154" s="17">
        <f>Catalogo!C154</f>
        <v/>
      </c>
      <c r="C154" s="19">
        <f>IF(Catalogo!H154="","(vazio)",Catalogo!H154)</f>
        <v/>
      </c>
      <c r="D154" s="19">
        <f>IF(AND(ISNUMBER(SEARCH(","&amp;D$1&amp;",",","&amp;SUBSTITUTE(Catalogo!$F154," ","")&amp;",")),Catalogo!$H154&lt;&gt;"N"),"●","")</f>
        <v/>
      </c>
      <c r="E154" s="19">
        <f>IF(AND(ISNUMBER(SEARCH(","&amp;E$1&amp;",",","&amp;SUBSTITUTE(Catalogo!$F154," ","")&amp;",")),Catalogo!$H154&lt;&gt;"N"),"●","")</f>
        <v/>
      </c>
      <c r="F154" s="19">
        <f>IF(AND(ISNUMBER(SEARCH(","&amp;F$1&amp;",",","&amp;SUBSTITUTE(Catalogo!$F154," ","")&amp;",")),Catalogo!$H154&lt;&gt;"N"),"●","")</f>
        <v/>
      </c>
      <c r="G154" s="19">
        <f>IF(AND(ISNUMBER(SEARCH(","&amp;G$1&amp;",",","&amp;SUBSTITUTE(Catalogo!$F154," ","")&amp;",")),Catalogo!$H154&lt;&gt;"N"),"●","")</f>
        <v/>
      </c>
      <c r="H154" s="19">
        <f>IF(AND(ISNUMBER(SEARCH(","&amp;H$1&amp;",",","&amp;SUBSTITUTE(Catalogo!$F154," ","")&amp;",")),Catalogo!$H154&lt;&gt;"N"),"●","")</f>
        <v/>
      </c>
      <c r="I154" s="19">
        <f>IF(AND(ISNUMBER(SEARCH(","&amp;I$1&amp;",",","&amp;SUBSTITUTE(Catalogo!$F154," ","")&amp;",")),Catalogo!$H154&lt;&gt;"N"),"●","")</f>
        <v/>
      </c>
      <c r="J154" s="19">
        <f>IF(AND(ISNUMBER(SEARCH(","&amp;J$1&amp;",",","&amp;SUBSTITUTE(Catalogo!$F154," ","")&amp;",")),Catalogo!$H154&lt;&gt;"N"),"●","")</f>
        <v/>
      </c>
      <c r="K154" s="19">
        <f>IF(AND(ISNUMBER(SEARCH(","&amp;K$1&amp;",",","&amp;SUBSTITUTE(Catalogo!$F154," ","")&amp;",")),Catalogo!$H154&lt;&gt;"N"),"●","")</f>
        <v/>
      </c>
      <c r="L154" s="19">
        <f>IF(AND(ISNUMBER(SEARCH(","&amp;L$1&amp;",",","&amp;SUBSTITUTE(Catalogo!$F154," ","")&amp;",")),Catalogo!$H154&lt;&gt;"N"),"●","")</f>
        <v/>
      </c>
      <c r="M154" s="19">
        <f>IF(AND(ISNUMBER(SEARCH(","&amp;M$1&amp;",",","&amp;SUBSTITUTE(Catalogo!$F154," ","")&amp;",")),Catalogo!$H154&lt;&gt;"N"),"●","")</f>
        <v/>
      </c>
    </row>
    <row r="155">
      <c r="A155" s="17">
        <f>Catalogo!A155</f>
        <v/>
      </c>
      <c r="B155" s="17">
        <f>Catalogo!C155</f>
        <v/>
      </c>
      <c r="C155" s="19">
        <f>IF(Catalogo!H155="","(vazio)",Catalogo!H155)</f>
        <v/>
      </c>
      <c r="D155" s="19">
        <f>IF(AND(ISNUMBER(SEARCH(","&amp;D$1&amp;",",","&amp;SUBSTITUTE(Catalogo!$F155," ","")&amp;",")),Catalogo!$H155&lt;&gt;"N"),"●","")</f>
        <v/>
      </c>
      <c r="E155" s="19">
        <f>IF(AND(ISNUMBER(SEARCH(","&amp;E$1&amp;",",","&amp;SUBSTITUTE(Catalogo!$F155," ","")&amp;",")),Catalogo!$H155&lt;&gt;"N"),"●","")</f>
        <v/>
      </c>
      <c r="F155" s="19">
        <f>IF(AND(ISNUMBER(SEARCH(","&amp;F$1&amp;",",","&amp;SUBSTITUTE(Catalogo!$F155," ","")&amp;",")),Catalogo!$H155&lt;&gt;"N"),"●","")</f>
        <v/>
      </c>
      <c r="G155" s="19">
        <f>IF(AND(ISNUMBER(SEARCH(","&amp;G$1&amp;",",","&amp;SUBSTITUTE(Catalogo!$F155," ","")&amp;",")),Catalogo!$H155&lt;&gt;"N"),"●","")</f>
        <v/>
      </c>
      <c r="H155" s="19">
        <f>IF(AND(ISNUMBER(SEARCH(","&amp;H$1&amp;",",","&amp;SUBSTITUTE(Catalogo!$F155," ","")&amp;",")),Catalogo!$H155&lt;&gt;"N"),"●","")</f>
        <v/>
      </c>
      <c r="I155" s="19">
        <f>IF(AND(ISNUMBER(SEARCH(","&amp;I$1&amp;",",","&amp;SUBSTITUTE(Catalogo!$F155," ","")&amp;",")),Catalogo!$H155&lt;&gt;"N"),"●","")</f>
        <v/>
      </c>
      <c r="J155" s="19">
        <f>IF(AND(ISNUMBER(SEARCH(","&amp;J$1&amp;",",","&amp;SUBSTITUTE(Catalogo!$F155," ","")&amp;",")),Catalogo!$H155&lt;&gt;"N"),"●","")</f>
        <v/>
      </c>
      <c r="K155" s="19">
        <f>IF(AND(ISNUMBER(SEARCH(","&amp;K$1&amp;",",","&amp;SUBSTITUTE(Catalogo!$F155," ","")&amp;",")),Catalogo!$H155&lt;&gt;"N"),"●","")</f>
        <v/>
      </c>
      <c r="L155" s="19">
        <f>IF(AND(ISNUMBER(SEARCH(","&amp;L$1&amp;",",","&amp;SUBSTITUTE(Catalogo!$F155," ","")&amp;",")),Catalogo!$H155&lt;&gt;"N"),"●","")</f>
        <v/>
      </c>
      <c r="M155" s="19">
        <f>IF(AND(ISNUMBER(SEARCH(","&amp;M$1&amp;",",","&amp;SUBSTITUTE(Catalogo!$F155," ","")&amp;",")),Catalogo!$H155&lt;&gt;"N"),"●","")</f>
        <v/>
      </c>
    </row>
    <row r="156">
      <c r="A156" s="17">
        <f>Catalogo!A156</f>
        <v/>
      </c>
      <c r="B156" s="17">
        <f>Catalogo!C156</f>
        <v/>
      </c>
      <c r="C156" s="19">
        <f>IF(Catalogo!H156="","(vazio)",Catalogo!H156)</f>
        <v/>
      </c>
      <c r="D156" s="19">
        <f>IF(AND(ISNUMBER(SEARCH(","&amp;D$1&amp;",",","&amp;SUBSTITUTE(Catalogo!$F156," ","")&amp;",")),Catalogo!$H156&lt;&gt;"N"),"●","")</f>
        <v/>
      </c>
      <c r="E156" s="19">
        <f>IF(AND(ISNUMBER(SEARCH(","&amp;E$1&amp;",",","&amp;SUBSTITUTE(Catalogo!$F156," ","")&amp;",")),Catalogo!$H156&lt;&gt;"N"),"●","")</f>
        <v/>
      </c>
      <c r="F156" s="19">
        <f>IF(AND(ISNUMBER(SEARCH(","&amp;F$1&amp;",",","&amp;SUBSTITUTE(Catalogo!$F156," ","")&amp;",")),Catalogo!$H156&lt;&gt;"N"),"●","")</f>
        <v/>
      </c>
      <c r="G156" s="19">
        <f>IF(AND(ISNUMBER(SEARCH(","&amp;G$1&amp;",",","&amp;SUBSTITUTE(Catalogo!$F156," ","")&amp;",")),Catalogo!$H156&lt;&gt;"N"),"●","")</f>
        <v/>
      </c>
      <c r="H156" s="19">
        <f>IF(AND(ISNUMBER(SEARCH(","&amp;H$1&amp;",",","&amp;SUBSTITUTE(Catalogo!$F156," ","")&amp;",")),Catalogo!$H156&lt;&gt;"N"),"●","")</f>
        <v/>
      </c>
      <c r="I156" s="19">
        <f>IF(AND(ISNUMBER(SEARCH(","&amp;I$1&amp;",",","&amp;SUBSTITUTE(Catalogo!$F156," ","")&amp;",")),Catalogo!$H156&lt;&gt;"N"),"●","")</f>
        <v/>
      </c>
      <c r="J156" s="19">
        <f>IF(AND(ISNUMBER(SEARCH(","&amp;J$1&amp;",",","&amp;SUBSTITUTE(Catalogo!$F156," ","")&amp;",")),Catalogo!$H156&lt;&gt;"N"),"●","")</f>
        <v/>
      </c>
      <c r="K156" s="19">
        <f>IF(AND(ISNUMBER(SEARCH(","&amp;K$1&amp;",",","&amp;SUBSTITUTE(Catalogo!$F156," ","")&amp;",")),Catalogo!$H156&lt;&gt;"N"),"●","")</f>
        <v/>
      </c>
      <c r="L156" s="19">
        <f>IF(AND(ISNUMBER(SEARCH(","&amp;L$1&amp;",",","&amp;SUBSTITUTE(Catalogo!$F156," ","")&amp;",")),Catalogo!$H156&lt;&gt;"N"),"●","")</f>
        <v/>
      </c>
      <c r="M156" s="19">
        <f>IF(AND(ISNUMBER(SEARCH(","&amp;M$1&amp;",",","&amp;SUBSTITUTE(Catalogo!$F156," ","")&amp;",")),Catalogo!$H156&lt;&gt;"N"),"●","")</f>
        <v/>
      </c>
    </row>
    <row r="157">
      <c r="A157" s="17">
        <f>Catalogo!A157</f>
        <v/>
      </c>
      <c r="B157" s="17">
        <f>Catalogo!C157</f>
        <v/>
      </c>
      <c r="C157" s="19">
        <f>IF(Catalogo!H157="","(vazio)",Catalogo!H157)</f>
        <v/>
      </c>
      <c r="D157" s="19">
        <f>IF(AND(ISNUMBER(SEARCH(","&amp;D$1&amp;",",","&amp;SUBSTITUTE(Catalogo!$F157," ","")&amp;",")),Catalogo!$H157&lt;&gt;"N"),"●","")</f>
        <v/>
      </c>
      <c r="E157" s="19">
        <f>IF(AND(ISNUMBER(SEARCH(","&amp;E$1&amp;",",","&amp;SUBSTITUTE(Catalogo!$F157," ","")&amp;",")),Catalogo!$H157&lt;&gt;"N"),"●","")</f>
        <v/>
      </c>
      <c r="F157" s="19">
        <f>IF(AND(ISNUMBER(SEARCH(","&amp;F$1&amp;",",","&amp;SUBSTITUTE(Catalogo!$F157," ","")&amp;",")),Catalogo!$H157&lt;&gt;"N"),"●","")</f>
        <v/>
      </c>
      <c r="G157" s="19">
        <f>IF(AND(ISNUMBER(SEARCH(","&amp;G$1&amp;",",","&amp;SUBSTITUTE(Catalogo!$F157," ","")&amp;",")),Catalogo!$H157&lt;&gt;"N"),"●","")</f>
        <v/>
      </c>
      <c r="H157" s="19">
        <f>IF(AND(ISNUMBER(SEARCH(","&amp;H$1&amp;",",","&amp;SUBSTITUTE(Catalogo!$F157," ","")&amp;",")),Catalogo!$H157&lt;&gt;"N"),"●","")</f>
        <v/>
      </c>
      <c r="I157" s="19">
        <f>IF(AND(ISNUMBER(SEARCH(","&amp;I$1&amp;",",","&amp;SUBSTITUTE(Catalogo!$F157," ","")&amp;",")),Catalogo!$H157&lt;&gt;"N"),"●","")</f>
        <v/>
      </c>
      <c r="J157" s="19">
        <f>IF(AND(ISNUMBER(SEARCH(","&amp;J$1&amp;",",","&amp;SUBSTITUTE(Catalogo!$F157," ","")&amp;",")),Catalogo!$H157&lt;&gt;"N"),"●","")</f>
        <v/>
      </c>
      <c r="K157" s="19">
        <f>IF(AND(ISNUMBER(SEARCH(","&amp;K$1&amp;",",","&amp;SUBSTITUTE(Catalogo!$F157," ","")&amp;",")),Catalogo!$H157&lt;&gt;"N"),"●","")</f>
        <v/>
      </c>
      <c r="L157" s="19">
        <f>IF(AND(ISNUMBER(SEARCH(","&amp;L$1&amp;",",","&amp;SUBSTITUTE(Catalogo!$F157," ","")&amp;",")),Catalogo!$H157&lt;&gt;"N"),"●","")</f>
        <v/>
      </c>
      <c r="M157" s="19">
        <f>IF(AND(ISNUMBER(SEARCH(","&amp;M$1&amp;",",","&amp;SUBSTITUTE(Catalogo!$F157," ","")&amp;",")),Catalogo!$H157&lt;&gt;"N"),"●","")</f>
        <v/>
      </c>
    </row>
    <row r="158">
      <c r="A158" s="17">
        <f>Catalogo!A158</f>
        <v/>
      </c>
      <c r="B158" s="17">
        <f>Catalogo!C158</f>
        <v/>
      </c>
      <c r="C158" s="19">
        <f>IF(Catalogo!H158="","(vazio)",Catalogo!H158)</f>
        <v/>
      </c>
      <c r="D158" s="19">
        <f>IF(AND(ISNUMBER(SEARCH(","&amp;D$1&amp;",",","&amp;SUBSTITUTE(Catalogo!$F158," ","")&amp;",")),Catalogo!$H158&lt;&gt;"N"),"●","")</f>
        <v/>
      </c>
      <c r="E158" s="19">
        <f>IF(AND(ISNUMBER(SEARCH(","&amp;E$1&amp;",",","&amp;SUBSTITUTE(Catalogo!$F158," ","")&amp;",")),Catalogo!$H158&lt;&gt;"N"),"●","")</f>
        <v/>
      </c>
      <c r="F158" s="19">
        <f>IF(AND(ISNUMBER(SEARCH(","&amp;F$1&amp;",",","&amp;SUBSTITUTE(Catalogo!$F158," ","")&amp;",")),Catalogo!$H158&lt;&gt;"N"),"●","")</f>
        <v/>
      </c>
      <c r="G158" s="19">
        <f>IF(AND(ISNUMBER(SEARCH(","&amp;G$1&amp;",",","&amp;SUBSTITUTE(Catalogo!$F158," ","")&amp;",")),Catalogo!$H158&lt;&gt;"N"),"●","")</f>
        <v/>
      </c>
      <c r="H158" s="19">
        <f>IF(AND(ISNUMBER(SEARCH(","&amp;H$1&amp;",",","&amp;SUBSTITUTE(Catalogo!$F158," ","")&amp;",")),Catalogo!$H158&lt;&gt;"N"),"●","")</f>
        <v/>
      </c>
      <c r="I158" s="19">
        <f>IF(AND(ISNUMBER(SEARCH(","&amp;I$1&amp;",",","&amp;SUBSTITUTE(Catalogo!$F158," ","")&amp;",")),Catalogo!$H158&lt;&gt;"N"),"●","")</f>
        <v/>
      </c>
      <c r="J158" s="19">
        <f>IF(AND(ISNUMBER(SEARCH(","&amp;J$1&amp;",",","&amp;SUBSTITUTE(Catalogo!$F158," ","")&amp;",")),Catalogo!$H158&lt;&gt;"N"),"●","")</f>
        <v/>
      </c>
      <c r="K158" s="19">
        <f>IF(AND(ISNUMBER(SEARCH(","&amp;K$1&amp;",",","&amp;SUBSTITUTE(Catalogo!$F158," ","")&amp;",")),Catalogo!$H158&lt;&gt;"N"),"●","")</f>
        <v/>
      </c>
      <c r="L158" s="19">
        <f>IF(AND(ISNUMBER(SEARCH(","&amp;L$1&amp;",",","&amp;SUBSTITUTE(Catalogo!$F158," ","")&amp;",")),Catalogo!$H158&lt;&gt;"N"),"●","")</f>
        <v/>
      </c>
      <c r="M158" s="19">
        <f>IF(AND(ISNUMBER(SEARCH(","&amp;M$1&amp;",",","&amp;SUBSTITUTE(Catalogo!$F158," ","")&amp;",")),Catalogo!$H158&lt;&gt;"N"),"●","")</f>
        <v/>
      </c>
    </row>
    <row r="159">
      <c r="A159" s="17">
        <f>Catalogo!A159</f>
        <v/>
      </c>
      <c r="B159" s="17">
        <f>Catalogo!C159</f>
        <v/>
      </c>
      <c r="C159" s="19">
        <f>IF(Catalogo!H159="","(vazio)",Catalogo!H159)</f>
        <v/>
      </c>
      <c r="D159" s="19">
        <f>IF(AND(ISNUMBER(SEARCH(","&amp;D$1&amp;",",","&amp;SUBSTITUTE(Catalogo!$F159," ","")&amp;",")),Catalogo!$H159&lt;&gt;"N"),"●","")</f>
        <v/>
      </c>
      <c r="E159" s="19">
        <f>IF(AND(ISNUMBER(SEARCH(","&amp;E$1&amp;",",","&amp;SUBSTITUTE(Catalogo!$F159," ","")&amp;",")),Catalogo!$H159&lt;&gt;"N"),"●","")</f>
        <v/>
      </c>
      <c r="F159" s="19">
        <f>IF(AND(ISNUMBER(SEARCH(","&amp;F$1&amp;",",","&amp;SUBSTITUTE(Catalogo!$F159," ","")&amp;",")),Catalogo!$H159&lt;&gt;"N"),"●","")</f>
        <v/>
      </c>
      <c r="G159" s="19">
        <f>IF(AND(ISNUMBER(SEARCH(","&amp;G$1&amp;",",","&amp;SUBSTITUTE(Catalogo!$F159," ","")&amp;",")),Catalogo!$H159&lt;&gt;"N"),"●","")</f>
        <v/>
      </c>
      <c r="H159" s="19">
        <f>IF(AND(ISNUMBER(SEARCH(","&amp;H$1&amp;",",","&amp;SUBSTITUTE(Catalogo!$F159," ","")&amp;",")),Catalogo!$H159&lt;&gt;"N"),"●","")</f>
        <v/>
      </c>
      <c r="I159" s="19">
        <f>IF(AND(ISNUMBER(SEARCH(","&amp;I$1&amp;",",","&amp;SUBSTITUTE(Catalogo!$F159," ","")&amp;",")),Catalogo!$H159&lt;&gt;"N"),"●","")</f>
        <v/>
      </c>
      <c r="J159" s="19">
        <f>IF(AND(ISNUMBER(SEARCH(","&amp;J$1&amp;",",","&amp;SUBSTITUTE(Catalogo!$F159," ","")&amp;",")),Catalogo!$H159&lt;&gt;"N"),"●","")</f>
        <v/>
      </c>
      <c r="K159" s="19">
        <f>IF(AND(ISNUMBER(SEARCH(","&amp;K$1&amp;",",","&amp;SUBSTITUTE(Catalogo!$F159," ","")&amp;",")),Catalogo!$H159&lt;&gt;"N"),"●","")</f>
        <v/>
      </c>
      <c r="L159" s="19">
        <f>IF(AND(ISNUMBER(SEARCH(","&amp;L$1&amp;",",","&amp;SUBSTITUTE(Catalogo!$F159," ","")&amp;",")),Catalogo!$H159&lt;&gt;"N"),"●","")</f>
        <v/>
      </c>
      <c r="M159" s="19">
        <f>IF(AND(ISNUMBER(SEARCH(","&amp;M$1&amp;",",","&amp;SUBSTITUTE(Catalogo!$F159," ","")&amp;",")),Catalogo!$H159&lt;&gt;"N"),"●","")</f>
        <v/>
      </c>
    </row>
    <row r="160">
      <c r="A160" s="17">
        <f>Catalogo!A160</f>
        <v/>
      </c>
      <c r="B160" s="17">
        <f>Catalogo!C160</f>
        <v/>
      </c>
      <c r="C160" s="19">
        <f>IF(Catalogo!H160="","(vazio)",Catalogo!H160)</f>
        <v/>
      </c>
      <c r="D160" s="19">
        <f>IF(AND(ISNUMBER(SEARCH(","&amp;D$1&amp;",",","&amp;SUBSTITUTE(Catalogo!$F160," ","")&amp;",")),Catalogo!$H160&lt;&gt;"N"),"●","")</f>
        <v/>
      </c>
      <c r="E160" s="19">
        <f>IF(AND(ISNUMBER(SEARCH(","&amp;E$1&amp;",",","&amp;SUBSTITUTE(Catalogo!$F160," ","")&amp;",")),Catalogo!$H160&lt;&gt;"N"),"●","")</f>
        <v/>
      </c>
      <c r="F160" s="19">
        <f>IF(AND(ISNUMBER(SEARCH(","&amp;F$1&amp;",",","&amp;SUBSTITUTE(Catalogo!$F160," ","")&amp;",")),Catalogo!$H160&lt;&gt;"N"),"●","")</f>
        <v/>
      </c>
      <c r="G160" s="19">
        <f>IF(AND(ISNUMBER(SEARCH(","&amp;G$1&amp;",",","&amp;SUBSTITUTE(Catalogo!$F160," ","")&amp;",")),Catalogo!$H160&lt;&gt;"N"),"●","")</f>
        <v/>
      </c>
      <c r="H160" s="19">
        <f>IF(AND(ISNUMBER(SEARCH(","&amp;H$1&amp;",",","&amp;SUBSTITUTE(Catalogo!$F160," ","")&amp;",")),Catalogo!$H160&lt;&gt;"N"),"●","")</f>
        <v/>
      </c>
      <c r="I160" s="19">
        <f>IF(AND(ISNUMBER(SEARCH(","&amp;I$1&amp;",",","&amp;SUBSTITUTE(Catalogo!$F160," ","")&amp;",")),Catalogo!$H160&lt;&gt;"N"),"●","")</f>
        <v/>
      </c>
      <c r="J160" s="19">
        <f>IF(AND(ISNUMBER(SEARCH(","&amp;J$1&amp;",",","&amp;SUBSTITUTE(Catalogo!$F160," ","")&amp;",")),Catalogo!$H160&lt;&gt;"N"),"●","")</f>
        <v/>
      </c>
      <c r="K160" s="19">
        <f>IF(AND(ISNUMBER(SEARCH(","&amp;K$1&amp;",",","&amp;SUBSTITUTE(Catalogo!$F160," ","")&amp;",")),Catalogo!$H160&lt;&gt;"N"),"●","")</f>
        <v/>
      </c>
      <c r="L160" s="19">
        <f>IF(AND(ISNUMBER(SEARCH(","&amp;L$1&amp;",",","&amp;SUBSTITUTE(Catalogo!$F160," ","")&amp;",")),Catalogo!$H160&lt;&gt;"N"),"●","")</f>
        <v/>
      </c>
      <c r="M160" s="19">
        <f>IF(AND(ISNUMBER(SEARCH(","&amp;M$1&amp;",",","&amp;SUBSTITUTE(Catalogo!$F160," ","")&amp;",")),Catalogo!$H160&lt;&gt;"N"),"●","")</f>
        <v/>
      </c>
    </row>
    <row r="161">
      <c r="A161" s="17">
        <f>Catalogo!A161</f>
        <v/>
      </c>
      <c r="B161" s="17">
        <f>Catalogo!C161</f>
        <v/>
      </c>
      <c r="C161" s="19">
        <f>IF(Catalogo!H161="","(vazio)",Catalogo!H161)</f>
        <v/>
      </c>
      <c r="D161" s="19">
        <f>IF(AND(ISNUMBER(SEARCH(","&amp;D$1&amp;",",","&amp;SUBSTITUTE(Catalogo!$F161," ","")&amp;",")),Catalogo!$H161&lt;&gt;"N"),"●","")</f>
        <v/>
      </c>
      <c r="E161" s="19">
        <f>IF(AND(ISNUMBER(SEARCH(","&amp;E$1&amp;",",","&amp;SUBSTITUTE(Catalogo!$F161," ","")&amp;",")),Catalogo!$H161&lt;&gt;"N"),"●","")</f>
        <v/>
      </c>
      <c r="F161" s="19">
        <f>IF(AND(ISNUMBER(SEARCH(","&amp;F$1&amp;",",","&amp;SUBSTITUTE(Catalogo!$F161," ","")&amp;",")),Catalogo!$H161&lt;&gt;"N"),"●","")</f>
        <v/>
      </c>
      <c r="G161" s="19">
        <f>IF(AND(ISNUMBER(SEARCH(","&amp;G$1&amp;",",","&amp;SUBSTITUTE(Catalogo!$F161," ","")&amp;",")),Catalogo!$H161&lt;&gt;"N"),"●","")</f>
        <v/>
      </c>
      <c r="H161" s="19">
        <f>IF(AND(ISNUMBER(SEARCH(","&amp;H$1&amp;",",","&amp;SUBSTITUTE(Catalogo!$F161," ","")&amp;",")),Catalogo!$H161&lt;&gt;"N"),"●","")</f>
        <v/>
      </c>
      <c r="I161" s="19">
        <f>IF(AND(ISNUMBER(SEARCH(","&amp;I$1&amp;",",","&amp;SUBSTITUTE(Catalogo!$F161," ","")&amp;",")),Catalogo!$H161&lt;&gt;"N"),"●","")</f>
        <v/>
      </c>
      <c r="J161" s="19">
        <f>IF(AND(ISNUMBER(SEARCH(","&amp;J$1&amp;",",","&amp;SUBSTITUTE(Catalogo!$F161," ","")&amp;",")),Catalogo!$H161&lt;&gt;"N"),"●","")</f>
        <v/>
      </c>
      <c r="K161" s="19">
        <f>IF(AND(ISNUMBER(SEARCH(","&amp;K$1&amp;",",","&amp;SUBSTITUTE(Catalogo!$F161," ","")&amp;",")),Catalogo!$H161&lt;&gt;"N"),"●","")</f>
        <v/>
      </c>
      <c r="L161" s="19">
        <f>IF(AND(ISNUMBER(SEARCH(","&amp;L$1&amp;",",","&amp;SUBSTITUTE(Catalogo!$F161," ","")&amp;",")),Catalogo!$H161&lt;&gt;"N"),"●","")</f>
        <v/>
      </c>
      <c r="M161" s="19">
        <f>IF(AND(ISNUMBER(SEARCH(","&amp;M$1&amp;",",","&amp;SUBSTITUTE(Catalogo!$F161," ","")&amp;",")),Catalogo!$H161&lt;&gt;"N"),"●","")</f>
        <v/>
      </c>
    </row>
    <row r="162">
      <c r="A162" s="17">
        <f>Catalogo!A162</f>
        <v/>
      </c>
      <c r="B162" s="17">
        <f>Catalogo!C162</f>
        <v/>
      </c>
      <c r="C162" s="19">
        <f>IF(Catalogo!H162="","(vazio)",Catalogo!H162)</f>
        <v/>
      </c>
      <c r="D162" s="19">
        <f>IF(AND(ISNUMBER(SEARCH(","&amp;D$1&amp;",",","&amp;SUBSTITUTE(Catalogo!$F162," ","")&amp;",")),Catalogo!$H162&lt;&gt;"N"),"●","")</f>
        <v/>
      </c>
      <c r="E162" s="19">
        <f>IF(AND(ISNUMBER(SEARCH(","&amp;E$1&amp;",",","&amp;SUBSTITUTE(Catalogo!$F162," ","")&amp;",")),Catalogo!$H162&lt;&gt;"N"),"●","")</f>
        <v/>
      </c>
      <c r="F162" s="19">
        <f>IF(AND(ISNUMBER(SEARCH(","&amp;F$1&amp;",",","&amp;SUBSTITUTE(Catalogo!$F162," ","")&amp;",")),Catalogo!$H162&lt;&gt;"N"),"●","")</f>
        <v/>
      </c>
      <c r="G162" s="19">
        <f>IF(AND(ISNUMBER(SEARCH(","&amp;G$1&amp;",",","&amp;SUBSTITUTE(Catalogo!$F162," ","")&amp;",")),Catalogo!$H162&lt;&gt;"N"),"●","")</f>
        <v/>
      </c>
      <c r="H162" s="19">
        <f>IF(AND(ISNUMBER(SEARCH(","&amp;H$1&amp;",",","&amp;SUBSTITUTE(Catalogo!$F162," ","")&amp;",")),Catalogo!$H162&lt;&gt;"N"),"●","")</f>
        <v/>
      </c>
      <c r="I162" s="19">
        <f>IF(AND(ISNUMBER(SEARCH(","&amp;I$1&amp;",",","&amp;SUBSTITUTE(Catalogo!$F162," ","")&amp;",")),Catalogo!$H162&lt;&gt;"N"),"●","")</f>
        <v/>
      </c>
      <c r="J162" s="19">
        <f>IF(AND(ISNUMBER(SEARCH(","&amp;J$1&amp;",",","&amp;SUBSTITUTE(Catalogo!$F162," ","")&amp;",")),Catalogo!$H162&lt;&gt;"N"),"●","")</f>
        <v/>
      </c>
      <c r="K162" s="19">
        <f>IF(AND(ISNUMBER(SEARCH(","&amp;K$1&amp;",",","&amp;SUBSTITUTE(Catalogo!$F162," ","")&amp;",")),Catalogo!$H162&lt;&gt;"N"),"●","")</f>
        <v/>
      </c>
      <c r="L162" s="19">
        <f>IF(AND(ISNUMBER(SEARCH(","&amp;L$1&amp;",",","&amp;SUBSTITUTE(Catalogo!$F162," ","")&amp;",")),Catalogo!$H162&lt;&gt;"N"),"●","")</f>
        <v/>
      </c>
      <c r="M162" s="19">
        <f>IF(AND(ISNUMBER(SEARCH(","&amp;M$1&amp;",",","&amp;SUBSTITUTE(Catalogo!$F162," ","")&amp;",")),Catalogo!$H162&lt;&gt;"N"),"●","")</f>
        <v/>
      </c>
    </row>
    <row r="163">
      <c r="A163" s="17">
        <f>Catalogo!A163</f>
        <v/>
      </c>
      <c r="B163" s="17">
        <f>Catalogo!C163</f>
        <v/>
      </c>
      <c r="C163" s="19">
        <f>IF(Catalogo!H163="","(vazio)",Catalogo!H163)</f>
        <v/>
      </c>
      <c r="D163" s="19">
        <f>IF(AND(ISNUMBER(SEARCH(","&amp;D$1&amp;",",","&amp;SUBSTITUTE(Catalogo!$F163," ","")&amp;",")),Catalogo!$H163&lt;&gt;"N"),"●","")</f>
        <v/>
      </c>
      <c r="E163" s="19">
        <f>IF(AND(ISNUMBER(SEARCH(","&amp;E$1&amp;",",","&amp;SUBSTITUTE(Catalogo!$F163," ","")&amp;",")),Catalogo!$H163&lt;&gt;"N"),"●","")</f>
        <v/>
      </c>
      <c r="F163" s="19">
        <f>IF(AND(ISNUMBER(SEARCH(","&amp;F$1&amp;",",","&amp;SUBSTITUTE(Catalogo!$F163," ","")&amp;",")),Catalogo!$H163&lt;&gt;"N"),"●","")</f>
        <v/>
      </c>
      <c r="G163" s="19">
        <f>IF(AND(ISNUMBER(SEARCH(","&amp;G$1&amp;",",","&amp;SUBSTITUTE(Catalogo!$F163," ","")&amp;",")),Catalogo!$H163&lt;&gt;"N"),"●","")</f>
        <v/>
      </c>
      <c r="H163" s="19">
        <f>IF(AND(ISNUMBER(SEARCH(","&amp;H$1&amp;",",","&amp;SUBSTITUTE(Catalogo!$F163," ","")&amp;",")),Catalogo!$H163&lt;&gt;"N"),"●","")</f>
        <v/>
      </c>
      <c r="I163" s="19">
        <f>IF(AND(ISNUMBER(SEARCH(","&amp;I$1&amp;",",","&amp;SUBSTITUTE(Catalogo!$F163," ","")&amp;",")),Catalogo!$H163&lt;&gt;"N"),"●","")</f>
        <v/>
      </c>
      <c r="J163" s="19">
        <f>IF(AND(ISNUMBER(SEARCH(","&amp;J$1&amp;",",","&amp;SUBSTITUTE(Catalogo!$F163," ","")&amp;",")),Catalogo!$H163&lt;&gt;"N"),"●","")</f>
        <v/>
      </c>
      <c r="K163" s="19">
        <f>IF(AND(ISNUMBER(SEARCH(","&amp;K$1&amp;",",","&amp;SUBSTITUTE(Catalogo!$F163," ","")&amp;",")),Catalogo!$H163&lt;&gt;"N"),"●","")</f>
        <v/>
      </c>
      <c r="L163" s="19">
        <f>IF(AND(ISNUMBER(SEARCH(","&amp;L$1&amp;",",","&amp;SUBSTITUTE(Catalogo!$F163," ","")&amp;",")),Catalogo!$H163&lt;&gt;"N"),"●","")</f>
        <v/>
      </c>
      <c r="M163" s="19">
        <f>IF(AND(ISNUMBER(SEARCH(","&amp;M$1&amp;",",","&amp;SUBSTITUTE(Catalogo!$F163," ","")&amp;",")),Catalogo!$H163&lt;&gt;"N"),"●","")</f>
        <v/>
      </c>
    </row>
    <row r="164">
      <c r="A164" s="17">
        <f>Catalogo!A164</f>
        <v/>
      </c>
      <c r="B164" s="17">
        <f>Catalogo!C164</f>
        <v/>
      </c>
      <c r="C164" s="19">
        <f>IF(Catalogo!H164="","(vazio)",Catalogo!H164)</f>
        <v/>
      </c>
      <c r="D164" s="19">
        <f>IF(AND(ISNUMBER(SEARCH(","&amp;D$1&amp;",",","&amp;SUBSTITUTE(Catalogo!$F164," ","")&amp;",")),Catalogo!$H164&lt;&gt;"N"),"●","")</f>
        <v/>
      </c>
      <c r="E164" s="19">
        <f>IF(AND(ISNUMBER(SEARCH(","&amp;E$1&amp;",",","&amp;SUBSTITUTE(Catalogo!$F164," ","")&amp;",")),Catalogo!$H164&lt;&gt;"N"),"●","")</f>
        <v/>
      </c>
      <c r="F164" s="19">
        <f>IF(AND(ISNUMBER(SEARCH(","&amp;F$1&amp;",",","&amp;SUBSTITUTE(Catalogo!$F164," ","")&amp;",")),Catalogo!$H164&lt;&gt;"N"),"●","")</f>
        <v/>
      </c>
      <c r="G164" s="19">
        <f>IF(AND(ISNUMBER(SEARCH(","&amp;G$1&amp;",",","&amp;SUBSTITUTE(Catalogo!$F164," ","")&amp;",")),Catalogo!$H164&lt;&gt;"N"),"●","")</f>
        <v/>
      </c>
      <c r="H164" s="19">
        <f>IF(AND(ISNUMBER(SEARCH(","&amp;H$1&amp;",",","&amp;SUBSTITUTE(Catalogo!$F164," ","")&amp;",")),Catalogo!$H164&lt;&gt;"N"),"●","")</f>
        <v/>
      </c>
      <c r="I164" s="19">
        <f>IF(AND(ISNUMBER(SEARCH(","&amp;I$1&amp;",",","&amp;SUBSTITUTE(Catalogo!$F164," ","")&amp;",")),Catalogo!$H164&lt;&gt;"N"),"●","")</f>
        <v/>
      </c>
      <c r="J164" s="19">
        <f>IF(AND(ISNUMBER(SEARCH(","&amp;J$1&amp;",",","&amp;SUBSTITUTE(Catalogo!$F164," ","")&amp;",")),Catalogo!$H164&lt;&gt;"N"),"●","")</f>
        <v/>
      </c>
      <c r="K164" s="19">
        <f>IF(AND(ISNUMBER(SEARCH(","&amp;K$1&amp;",",","&amp;SUBSTITUTE(Catalogo!$F164," ","")&amp;",")),Catalogo!$H164&lt;&gt;"N"),"●","")</f>
        <v/>
      </c>
      <c r="L164" s="19">
        <f>IF(AND(ISNUMBER(SEARCH(","&amp;L$1&amp;",",","&amp;SUBSTITUTE(Catalogo!$F164," ","")&amp;",")),Catalogo!$H164&lt;&gt;"N"),"●","")</f>
        <v/>
      </c>
      <c r="M164" s="19">
        <f>IF(AND(ISNUMBER(SEARCH(","&amp;M$1&amp;",",","&amp;SUBSTITUTE(Catalogo!$F164," ","")&amp;",")),Catalogo!$H164&lt;&gt;"N"),"●","")</f>
        <v/>
      </c>
    </row>
    <row r="165">
      <c r="A165" s="17">
        <f>Catalogo!A165</f>
        <v/>
      </c>
      <c r="B165" s="17">
        <f>Catalogo!C165</f>
        <v/>
      </c>
      <c r="C165" s="19">
        <f>IF(Catalogo!H165="","(vazio)",Catalogo!H165)</f>
        <v/>
      </c>
      <c r="D165" s="19">
        <f>IF(AND(ISNUMBER(SEARCH(","&amp;D$1&amp;",",","&amp;SUBSTITUTE(Catalogo!$F165," ","")&amp;",")),Catalogo!$H165&lt;&gt;"N"),"●","")</f>
        <v/>
      </c>
      <c r="E165" s="19">
        <f>IF(AND(ISNUMBER(SEARCH(","&amp;E$1&amp;",",","&amp;SUBSTITUTE(Catalogo!$F165," ","")&amp;",")),Catalogo!$H165&lt;&gt;"N"),"●","")</f>
        <v/>
      </c>
      <c r="F165" s="19">
        <f>IF(AND(ISNUMBER(SEARCH(","&amp;F$1&amp;",",","&amp;SUBSTITUTE(Catalogo!$F165," ","")&amp;",")),Catalogo!$H165&lt;&gt;"N"),"●","")</f>
        <v/>
      </c>
      <c r="G165" s="19">
        <f>IF(AND(ISNUMBER(SEARCH(","&amp;G$1&amp;",",","&amp;SUBSTITUTE(Catalogo!$F165," ","")&amp;",")),Catalogo!$H165&lt;&gt;"N"),"●","")</f>
        <v/>
      </c>
      <c r="H165" s="19">
        <f>IF(AND(ISNUMBER(SEARCH(","&amp;H$1&amp;",",","&amp;SUBSTITUTE(Catalogo!$F165," ","")&amp;",")),Catalogo!$H165&lt;&gt;"N"),"●","")</f>
        <v/>
      </c>
      <c r="I165" s="19">
        <f>IF(AND(ISNUMBER(SEARCH(","&amp;I$1&amp;",",","&amp;SUBSTITUTE(Catalogo!$F165," ","")&amp;",")),Catalogo!$H165&lt;&gt;"N"),"●","")</f>
        <v/>
      </c>
      <c r="J165" s="19">
        <f>IF(AND(ISNUMBER(SEARCH(","&amp;J$1&amp;",",","&amp;SUBSTITUTE(Catalogo!$F165," ","")&amp;",")),Catalogo!$H165&lt;&gt;"N"),"●","")</f>
        <v/>
      </c>
      <c r="K165" s="19">
        <f>IF(AND(ISNUMBER(SEARCH(","&amp;K$1&amp;",",","&amp;SUBSTITUTE(Catalogo!$F165," ","")&amp;",")),Catalogo!$H165&lt;&gt;"N"),"●","")</f>
        <v/>
      </c>
      <c r="L165" s="19">
        <f>IF(AND(ISNUMBER(SEARCH(","&amp;L$1&amp;",",","&amp;SUBSTITUTE(Catalogo!$F165," ","")&amp;",")),Catalogo!$H165&lt;&gt;"N"),"●","")</f>
        <v/>
      </c>
      <c r="M165" s="19">
        <f>IF(AND(ISNUMBER(SEARCH(","&amp;M$1&amp;",",","&amp;SUBSTITUTE(Catalogo!$F165," ","")&amp;",")),Catalogo!$H165&lt;&gt;"N"),"●","")</f>
        <v/>
      </c>
    </row>
    <row r="166">
      <c r="A166" s="17">
        <f>Catalogo!A166</f>
        <v/>
      </c>
      <c r="B166" s="17">
        <f>Catalogo!C166</f>
        <v/>
      </c>
      <c r="C166" s="19">
        <f>IF(Catalogo!H166="","(vazio)",Catalogo!H166)</f>
        <v/>
      </c>
      <c r="D166" s="19">
        <f>IF(AND(ISNUMBER(SEARCH(","&amp;D$1&amp;",",","&amp;SUBSTITUTE(Catalogo!$F166," ","")&amp;",")),Catalogo!$H166&lt;&gt;"N"),"●","")</f>
        <v/>
      </c>
      <c r="E166" s="19">
        <f>IF(AND(ISNUMBER(SEARCH(","&amp;E$1&amp;",",","&amp;SUBSTITUTE(Catalogo!$F166," ","")&amp;",")),Catalogo!$H166&lt;&gt;"N"),"●","")</f>
        <v/>
      </c>
      <c r="F166" s="19">
        <f>IF(AND(ISNUMBER(SEARCH(","&amp;F$1&amp;",",","&amp;SUBSTITUTE(Catalogo!$F166," ","")&amp;",")),Catalogo!$H166&lt;&gt;"N"),"●","")</f>
        <v/>
      </c>
      <c r="G166" s="19">
        <f>IF(AND(ISNUMBER(SEARCH(","&amp;G$1&amp;",",","&amp;SUBSTITUTE(Catalogo!$F166," ","")&amp;",")),Catalogo!$H166&lt;&gt;"N"),"●","")</f>
        <v/>
      </c>
      <c r="H166" s="19">
        <f>IF(AND(ISNUMBER(SEARCH(","&amp;H$1&amp;",",","&amp;SUBSTITUTE(Catalogo!$F166," ","")&amp;",")),Catalogo!$H166&lt;&gt;"N"),"●","")</f>
        <v/>
      </c>
      <c r="I166" s="19">
        <f>IF(AND(ISNUMBER(SEARCH(","&amp;I$1&amp;",",","&amp;SUBSTITUTE(Catalogo!$F166," ","")&amp;",")),Catalogo!$H166&lt;&gt;"N"),"●","")</f>
        <v/>
      </c>
      <c r="J166" s="19">
        <f>IF(AND(ISNUMBER(SEARCH(","&amp;J$1&amp;",",","&amp;SUBSTITUTE(Catalogo!$F166," ","")&amp;",")),Catalogo!$H166&lt;&gt;"N"),"●","")</f>
        <v/>
      </c>
      <c r="K166" s="19">
        <f>IF(AND(ISNUMBER(SEARCH(","&amp;K$1&amp;",",","&amp;SUBSTITUTE(Catalogo!$F166," ","")&amp;",")),Catalogo!$H166&lt;&gt;"N"),"●","")</f>
        <v/>
      </c>
      <c r="L166" s="19">
        <f>IF(AND(ISNUMBER(SEARCH(","&amp;L$1&amp;",",","&amp;SUBSTITUTE(Catalogo!$F166," ","")&amp;",")),Catalogo!$H166&lt;&gt;"N"),"●","")</f>
        <v/>
      </c>
      <c r="M166" s="19">
        <f>IF(AND(ISNUMBER(SEARCH(","&amp;M$1&amp;",",","&amp;SUBSTITUTE(Catalogo!$F166," ","")&amp;",")),Catalogo!$H166&lt;&gt;"N"),"●","")</f>
        <v/>
      </c>
    </row>
    <row r="167">
      <c r="A167" s="17">
        <f>Catalogo!A167</f>
        <v/>
      </c>
      <c r="B167" s="17">
        <f>Catalogo!C167</f>
        <v/>
      </c>
      <c r="C167" s="19">
        <f>IF(Catalogo!H167="","(vazio)",Catalogo!H167)</f>
        <v/>
      </c>
      <c r="D167" s="19">
        <f>IF(AND(ISNUMBER(SEARCH(","&amp;D$1&amp;",",","&amp;SUBSTITUTE(Catalogo!$F167," ","")&amp;",")),Catalogo!$H167&lt;&gt;"N"),"●","")</f>
        <v/>
      </c>
      <c r="E167" s="19">
        <f>IF(AND(ISNUMBER(SEARCH(","&amp;E$1&amp;",",","&amp;SUBSTITUTE(Catalogo!$F167," ","")&amp;",")),Catalogo!$H167&lt;&gt;"N"),"●","")</f>
        <v/>
      </c>
      <c r="F167" s="19">
        <f>IF(AND(ISNUMBER(SEARCH(","&amp;F$1&amp;",",","&amp;SUBSTITUTE(Catalogo!$F167," ","")&amp;",")),Catalogo!$H167&lt;&gt;"N"),"●","")</f>
        <v/>
      </c>
      <c r="G167" s="19">
        <f>IF(AND(ISNUMBER(SEARCH(","&amp;G$1&amp;",",","&amp;SUBSTITUTE(Catalogo!$F167," ","")&amp;",")),Catalogo!$H167&lt;&gt;"N"),"●","")</f>
        <v/>
      </c>
      <c r="H167" s="19">
        <f>IF(AND(ISNUMBER(SEARCH(","&amp;H$1&amp;",",","&amp;SUBSTITUTE(Catalogo!$F167," ","")&amp;",")),Catalogo!$H167&lt;&gt;"N"),"●","")</f>
        <v/>
      </c>
      <c r="I167" s="19">
        <f>IF(AND(ISNUMBER(SEARCH(","&amp;I$1&amp;",",","&amp;SUBSTITUTE(Catalogo!$F167," ","")&amp;",")),Catalogo!$H167&lt;&gt;"N"),"●","")</f>
        <v/>
      </c>
      <c r="J167" s="19">
        <f>IF(AND(ISNUMBER(SEARCH(","&amp;J$1&amp;",",","&amp;SUBSTITUTE(Catalogo!$F167," ","")&amp;",")),Catalogo!$H167&lt;&gt;"N"),"●","")</f>
        <v/>
      </c>
      <c r="K167" s="19">
        <f>IF(AND(ISNUMBER(SEARCH(","&amp;K$1&amp;",",","&amp;SUBSTITUTE(Catalogo!$F167," ","")&amp;",")),Catalogo!$H167&lt;&gt;"N"),"●","")</f>
        <v/>
      </c>
      <c r="L167" s="19">
        <f>IF(AND(ISNUMBER(SEARCH(","&amp;L$1&amp;",",","&amp;SUBSTITUTE(Catalogo!$F167," ","")&amp;",")),Catalogo!$H167&lt;&gt;"N"),"●","")</f>
        <v/>
      </c>
      <c r="M167" s="19">
        <f>IF(AND(ISNUMBER(SEARCH(","&amp;M$1&amp;",",","&amp;SUBSTITUTE(Catalogo!$F167," ","")&amp;",")),Catalogo!$H167&lt;&gt;"N"),"●","")</f>
        <v/>
      </c>
    </row>
    <row r="168">
      <c r="A168" s="17">
        <f>Catalogo!A168</f>
        <v/>
      </c>
      <c r="B168" s="17">
        <f>Catalogo!C168</f>
        <v/>
      </c>
      <c r="C168" s="19">
        <f>IF(Catalogo!H168="","(vazio)",Catalogo!H168)</f>
        <v/>
      </c>
      <c r="D168" s="19">
        <f>IF(AND(ISNUMBER(SEARCH(","&amp;D$1&amp;",",","&amp;SUBSTITUTE(Catalogo!$F168," ","")&amp;",")),Catalogo!$H168&lt;&gt;"N"),"●","")</f>
        <v/>
      </c>
      <c r="E168" s="19">
        <f>IF(AND(ISNUMBER(SEARCH(","&amp;E$1&amp;",",","&amp;SUBSTITUTE(Catalogo!$F168," ","")&amp;",")),Catalogo!$H168&lt;&gt;"N"),"●","")</f>
        <v/>
      </c>
      <c r="F168" s="19">
        <f>IF(AND(ISNUMBER(SEARCH(","&amp;F$1&amp;",",","&amp;SUBSTITUTE(Catalogo!$F168," ","")&amp;",")),Catalogo!$H168&lt;&gt;"N"),"●","")</f>
        <v/>
      </c>
      <c r="G168" s="19">
        <f>IF(AND(ISNUMBER(SEARCH(","&amp;G$1&amp;",",","&amp;SUBSTITUTE(Catalogo!$F168," ","")&amp;",")),Catalogo!$H168&lt;&gt;"N"),"●","")</f>
        <v/>
      </c>
      <c r="H168" s="19">
        <f>IF(AND(ISNUMBER(SEARCH(","&amp;H$1&amp;",",","&amp;SUBSTITUTE(Catalogo!$F168," ","")&amp;",")),Catalogo!$H168&lt;&gt;"N"),"●","")</f>
        <v/>
      </c>
      <c r="I168" s="19">
        <f>IF(AND(ISNUMBER(SEARCH(","&amp;I$1&amp;",",","&amp;SUBSTITUTE(Catalogo!$F168," ","")&amp;",")),Catalogo!$H168&lt;&gt;"N"),"●","")</f>
        <v/>
      </c>
      <c r="J168" s="19">
        <f>IF(AND(ISNUMBER(SEARCH(","&amp;J$1&amp;",",","&amp;SUBSTITUTE(Catalogo!$F168," ","")&amp;",")),Catalogo!$H168&lt;&gt;"N"),"●","")</f>
        <v/>
      </c>
      <c r="K168" s="19">
        <f>IF(AND(ISNUMBER(SEARCH(","&amp;K$1&amp;",",","&amp;SUBSTITUTE(Catalogo!$F168," ","")&amp;",")),Catalogo!$H168&lt;&gt;"N"),"●","")</f>
        <v/>
      </c>
      <c r="L168" s="19">
        <f>IF(AND(ISNUMBER(SEARCH(","&amp;L$1&amp;",",","&amp;SUBSTITUTE(Catalogo!$F168," ","")&amp;",")),Catalogo!$H168&lt;&gt;"N"),"●","")</f>
        <v/>
      </c>
      <c r="M168" s="19">
        <f>IF(AND(ISNUMBER(SEARCH(","&amp;M$1&amp;",",","&amp;SUBSTITUTE(Catalogo!$F168," ","")&amp;",")),Catalogo!$H168&lt;&gt;"N"),"●","")</f>
        <v/>
      </c>
    </row>
    <row r="169">
      <c r="A169" s="17">
        <f>Catalogo!A169</f>
        <v/>
      </c>
      <c r="B169" s="17">
        <f>Catalogo!C169</f>
        <v/>
      </c>
      <c r="C169" s="19">
        <f>IF(Catalogo!H169="","(vazio)",Catalogo!H169)</f>
        <v/>
      </c>
      <c r="D169" s="19">
        <f>IF(AND(ISNUMBER(SEARCH(","&amp;D$1&amp;",",","&amp;SUBSTITUTE(Catalogo!$F169," ","")&amp;",")),Catalogo!$H169&lt;&gt;"N"),"●","")</f>
        <v/>
      </c>
      <c r="E169" s="19">
        <f>IF(AND(ISNUMBER(SEARCH(","&amp;E$1&amp;",",","&amp;SUBSTITUTE(Catalogo!$F169," ","")&amp;",")),Catalogo!$H169&lt;&gt;"N"),"●","")</f>
        <v/>
      </c>
      <c r="F169" s="19">
        <f>IF(AND(ISNUMBER(SEARCH(","&amp;F$1&amp;",",","&amp;SUBSTITUTE(Catalogo!$F169," ","")&amp;",")),Catalogo!$H169&lt;&gt;"N"),"●","")</f>
        <v/>
      </c>
      <c r="G169" s="19">
        <f>IF(AND(ISNUMBER(SEARCH(","&amp;G$1&amp;",",","&amp;SUBSTITUTE(Catalogo!$F169," ","")&amp;",")),Catalogo!$H169&lt;&gt;"N"),"●","")</f>
        <v/>
      </c>
      <c r="H169" s="19">
        <f>IF(AND(ISNUMBER(SEARCH(","&amp;H$1&amp;",",","&amp;SUBSTITUTE(Catalogo!$F169," ","")&amp;",")),Catalogo!$H169&lt;&gt;"N"),"●","")</f>
        <v/>
      </c>
      <c r="I169" s="19">
        <f>IF(AND(ISNUMBER(SEARCH(","&amp;I$1&amp;",",","&amp;SUBSTITUTE(Catalogo!$F169," ","")&amp;",")),Catalogo!$H169&lt;&gt;"N"),"●","")</f>
        <v/>
      </c>
      <c r="J169" s="19">
        <f>IF(AND(ISNUMBER(SEARCH(","&amp;J$1&amp;",",","&amp;SUBSTITUTE(Catalogo!$F169," ","")&amp;",")),Catalogo!$H169&lt;&gt;"N"),"●","")</f>
        <v/>
      </c>
      <c r="K169" s="19">
        <f>IF(AND(ISNUMBER(SEARCH(","&amp;K$1&amp;",",","&amp;SUBSTITUTE(Catalogo!$F169," ","")&amp;",")),Catalogo!$H169&lt;&gt;"N"),"●","")</f>
        <v/>
      </c>
      <c r="L169" s="19">
        <f>IF(AND(ISNUMBER(SEARCH(","&amp;L$1&amp;",",","&amp;SUBSTITUTE(Catalogo!$F169," ","")&amp;",")),Catalogo!$H169&lt;&gt;"N"),"●","")</f>
        <v/>
      </c>
      <c r="M169" s="19">
        <f>IF(AND(ISNUMBER(SEARCH(","&amp;M$1&amp;",",","&amp;SUBSTITUTE(Catalogo!$F169," ","")&amp;",")),Catalogo!$H169&lt;&gt;"N"),"●","")</f>
        <v/>
      </c>
    </row>
    <row r="170">
      <c r="A170" s="17">
        <f>Catalogo!A170</f>
        <v/>
      </c>
      <c r="B170" s="17">
        <f>Catalogo!C170</f>
        <v/>
      </c>
      <c r="C170" s="19">
        <f>IF(Catalogo!H170="","(vazio)",Catalogo!H170)</f>
        <v/>
      </c>
      <c r="D170" s="19">
        <f>IF(AND(ISNUMBER(SEARCH(","&amp;D$1&amp;",",","&amp;SUBSTITUTE(Catalogo!$F170," ","")&amp;",")),Catalogo!$H170&lt;&gt;"N"),"●","")</f>
        <v/>
      </c>
      <c r="E170" s="19">
        <f>IF(AND(ISNUMBER(SEARCH(","&amp;E$1&amp;",",","&amp;SUBSTITUTE(Catalogo!$F170," ","")&amp;",")),Catalogo!$H170&lt;&gt;"N"),"●","")</f>
        <v/>
      </c>
      <c r="F170" s="19">
        <f>IF(AND(ISNUMBER(SEARCH(","&amp;F$1&amp;",",","&amp;SUBSTITUTE(Catalogo!$F170," ","")&amp;",")),Catalogo!$H170&lt;&gt;"N"),"●","")</f>
        <v/>
      </c>
      <c r="G170" s="19">
        <f>IF(AND(ISNUMBER(SEARCH(","&amp;G$1&amp;",",","&amp;SUBSTITUTE(Catalogo!$F170," ","")&amp;",")),Catalogo!$H170&lt;&gt;"N"),"●","")</f>
        <v/>
      </c>
      <c r="H170" s="19">
        <f>IF(AND(ISNUMBER(SEARCH(","&amp;H$1&amp;",",","&amp;SUBSTITUTE(Catalogo!$F170," ","")&amp;",")),Catalogo!$H170&lt;&gt;"N"),"●","")</f>
        <v/>
      </c>
      <c r="I170" s="19">
        <f>IF(AND(ISNUMBER(SEARCH(","&amp;I$1&amp;",",","&amp;SUBSTITUTE(Catalogo!$F170," ","")&amp;",")),Catalogo!$H170&lt;&gt;"N"),"●","")</f>
        <v/>
      </c>
      <c r="J170" s="19">
        <f>IF(AND(ISNUMBER(SEARCH(","&amp;J$1&amp;",",","&amp;SUBSTITUTE(Catalogo!$F170," ","")&amp;",")),Catalogo!$H170&lt;&gt;"N"),"●","")</f>
        <v/>
      </c>
      <c r="K170" s="19">
        <f>IF(AND(ISNUMBER(SEARCH(","&amp;K$1&amp;",",","&amp;SUBSTITUTE(Catalogo!$F170," ","")&amp;",")),Catalogo!$H170&lt;&gt;"N"),"●","")</f>
        <v/>
      </c>
      <c r="L170" s="19">
        <f>IF(AND(ISNUMBER(SEARCH(","&amp;L$1&amp;",",","&amp;SUBSTITUTE(Catalogo!$F170," ","")&amp;",")),Catalogo!$H170&lt;&gt;"N"),"●","")</f>
        <v/>
      </c>
      <c r="M170" s="19">
        <f>IF(AND(ISNUMBER(SEARCH(","&amp;M$1&amp;",",","&amp;SUBSTITUTE(Catalogo!$F170," ","")&amp;",")),Catalogo!$H170&lt;&gt;"N"),"●","")</f>
        <v/>
      </c>
    </row>
    <row r="171">
      <c r="A171" s="17">
        <f>Catalogo!A171</f>
        <v/>
      </c>
      <c r="B171" s="17">
        <f>Catalogo!C171</f>
        <v/>
      </c>
      <c r="C171" s="19">
        <f>IF(Catalogo!H171="","(vazio)",Catalogo!H171)</f>
        <v/>
      </c>
      <c r="D171" s="19">
        <f>IF(AND(ISNUMBER(SEARCH(","&amp;D$1&amp;",",","&amp;SUBSTITUTE(Catalogo!$F171," ","")&amp;",")),Catalogo!$H171&lt;&gt;"N"),"●","")</f>
        <v/>
      </c>
      <c r="E171" s="19">
        <f>IF(AND(ISNUMBER(SEARCH(","&amp;E$1&amp;",",","&amp;SUBSTITUTE(Catalogo!$F171," ","")&amp;",")),Catalogo!$H171&lt;&gt;"N"),"●","")</f>
        <v/>
      </c>
      <c r="F171" s="19">
        <f>IF(AND(ISNUMBER(SEARCH(","&amp;F$1&amp;",",","&amp;SUBSTITUTE(Catalogo!$F171," ","")&amp;",")),Catalogo!$H171&lt;&gt;"N"),"●","")</f>
        <v/>
      </c>
      <c r="G171" s="19">
        <f>IF(AND(ISNUMBER(SEARCH(","&amp;G$1&amp;",",","&amp;SUBSTITUTE(Catalogo!$F171," ","")&amp;",")),Catalogo!$H171&lt;&gt;"N"),"●","")</f>
        <v/>
      </c>
      <c r="H171" s="19">
        <f>IF(AND(ISNUMBER(SEARCH(","&amp;H$1&amp;",",","&amp;SUBSTITUTE(Catalogo!$F171," ","")&amp;",")),Catalogo!$H171&lt;&gt;"N"),"●","")</f>
        <v/>
      </c>
      <c r="I171" s="19">
        <f>IF(AND(ISNUMBER(SEARCH(","&amp;I$1&amp;",",","&amp;SUBSTITUTE(Catalogo!$F171," ","")&amp;",")),Catalogo!$H171&lt;&gt;"N"),"●","")</f>
        <v/>
      </c>
      <c r="J171" s="19">
        <f>IF(AND(ISNUMBER(SEARCH(","&amp;J$1&amp;",",","&amp;SUBSTITUTE(Catalogo!$F171," ","")&amp;",")),Catalogo!$H171&lt;&gt;"N"),"●","")</f>
        <v/>
      </c>
      <c r="K171" s="19">
        <f>IF(AND(ISNUMBER(SEARCH(","&amp;K$1&amp;",",","&amp;SUBSTITUTE(Catalogo!$F171," ","")&amp;",")),Catalogo!$H171&lt;&gt;"N"),"●","")</f>
        <v/>
      </c>
      <c r="L171" s="19">
        <f>IF(AND(ISNUMBER(SEARCH(","&amp;L$1&amp;",",","&amp;SUBSTITUTE(Catalogo!$F171," ","")&amp;",")),Catalogo!$H171&lt;&gt;"N"),"●","")</f>
        <v/>
      </c>
      <c r="M171" s="19">
        <f>IF(AND(ISNUMBER(SEARCH(","&amp;M$1&amp;",",","&amp;SUBSTITUTE(Catalogo!$F171," ","")&amp;",")),Catalogo!$H171&lt;&gt;"N"),"●","")</f>
        <v/>
      </c>
    </row>
    <row r="172">
      <c r="A172" s="17">
        <f>Catalogo!A172</f>
        <v/>
      </c>
      <c r="B172" s="17">
        <f>Catalogo!C172</f>
        <v/>
      </c>
      <c r="C172" s="19">
        <f>IF(Catalogo!H172="","(vazio)",Catalogo!H172)</f>
        <v/>
      </c>
      <c r="D172" s="19">
        <f>IF(AND(ISNUMBER(SEARCH(","&amp;D$1&amp;",",","&amp;SUBSTITUTE(Catalogo!$F172," ","")&amp;",")),Catalogo!$H172&lt;&gt;"N"),"●","")</f>
        <v/>
      </c>
      <c r="E172" s="19">
        <f>IF(AND(ISNUMBER(SEARCH(","&amp;E$1&amp;",",","&amp;SUBSTITUTE(Catalogo!$F172," ","")&amp;",")),Catalogo!$H172&lt;&gt;"N"),"●","")</f>
        <v/>
      </c>
      <c r="F172" s="19">
        <f>IF(AND(ISNUMBER(SEARCH(","&amp;F$1&amp;",",","&amp;SUBSTITUTE(Catalogo!$F172," ","")&amp;",")),Catalogo!$H172&lt;&gt;"N"),"●","")</f>
        <v/>
      </c>
      <c r="G172" s="19">
        <f>IF(AND(ISNUMBER(SEARCH(","&amp;G$1&amp;",",","&amp;SUBSTITUTE(Catalogo!$F172," ","")&amp;",")),Catalogo!$H172&lt;&gt;"N"),"●","")</f>
        <v/>
      </c>
      <c r="H172" s="19">
        <f>IF(AND(ISNUMBER(SEARCH(","&amp;H$1&amp;",",","&amp;SUBSTITUTE(Catalogo!$F172," ","")&amp;",")),Catalogo!$H172&lt;&gt;"N"),"●","")</f>
        <v/>
      </c>
      <c r="I172" s="19">
        <f>IF(AND(ISNUMBER(SEARCH(","&amp;I$1&amp;",",","&amp;SUBSTITUTE(Catalogo!$F172," ","")&amp;",")),Catalogo!$H172&lt;&gt;"N"),"●","")</f>
        <v/>
      </c>
      <c r="J172" s="19">
        <f>IF(AND(ISNUMBER(SEARCH(","&amp;J$1&amp;",",","&amp;SUBSTITUTE(Catalogo!$F172," ","")&amp;",")),Catalogo!$H172&lt;&gt;"N"),"●","")</f>
        <v/>
      </c>
      <c r="K172" s="19">
        <f>IF(AND(ISNUMBER(SEARCH(","&amp;K$1&amp;",",","&amp;SUBSTITUTE(Catalogo!$F172," ","")&amp;",")),Catalogo!$H172&lt;&gt;"N"),"●","")</f>
        <v/>
      </c>
      <c r="L172" s="19">
        <f>IF(AND(ISNUMBER(SEARCH(","&amp;L$1&amp;",",","&amp;SUBSTITUTE(Catalogo!$F172," ","")&amp;",")),Catalogo!$H172&lt;&gt;"N"),"●","")</f>
        <v/>
      </c>
      <c r="M172" s="19">
        <f>IF(AND(ISNUMBER(SEARCH(","&amp;M$1&amp;",",","&amp;SUBSTITUTE(Catalogo!$F172," ","")&amp;",")),Catalogo!$H172&lt;&gt;"N"),"●","")</f>
        <v/>
      </c>
    </row>
    <row r="173">
      <c r="A173" s="17">
        <f>Catalogo!A173</f>
        <v/>
      </c>
      <c r="B173" s="17">
        <f>Catalogo!C173</f>
        <v/>
      </c>
      <c r="C173" s="19">
        <f>IF(Catalogo!H173="","(vazio)",Catalogo!H173)</f>
        <v/>
      </c>
      <c r="D173" s="19">
        <f>IF(AND(ISNUMBER(SEARCH(","&amp;D$1&amp;",",","&amp;SUBSTITUTE(Catalogo!$F173," ","")&amp;",")),Catalogo!$H173&lt;&gt;"N"),"●","")</f>
        <v/>
      </c>
      <c r="E173" s="19">
        <f>IF(AND(ISNUMBER(SEARCH(","&amp;E$1&amp;",",","&amp;SUBSTITUTE(Catalogo!$F173," ","")&amp;",")),Catalogo!$H173&lt;&gt;"N"),"●","")</f>
        <v/>
      </c>
      <c r="F173" s="19">
        <f>IF(AND(ISNUMBER(SEARCH(","&amp;F$1&amp;",",","&amp;SUBSTITUTE(Catalogo!$F173," ","")&amp;",")),Catalogo!$H173&lt;&gt;"N"),"●","")</f>
        <v/>
      </c>
      <c r="G173" s="19">
        <f>IF(AND(ISNUMBER(SEARCH(","&amp;G$1&amp;",",","&amp;SUBSTITUTE(Catalogo!$F173," ","")&amp;",")),Catalogo!$H173&lt;&gt;"N"),"●","")</f>
        <v/>
      </c>
      <c r="H173" s="19">
        <f>IF(AND(ISNUMBER(SEARCH(","&amp;H$1&amp;",",","&amp;SUBSTITUTE(Catalogo!$F173," ","")&amp;",")),Catalogo!$H173&lt;&gt;"N"),"●","")</f>
        <v/>
      </c>
      <c r="I173" s="19">
        <f>IF(AND(ISNUMBER(SEARCH(","&amp;I$1&amp;",",","&amp;SUBSTITUTE(Catalogo!$F173," ","")&amp;",")),Catalogo!$H173&lt;&gt;"N"),"●","")</f>
        <v/>
      </c>
      <c r="J173" s="19">
        <f>IF(AND(ISNUMBER(SEARCH(","&amp;J$1&amp;",",","&amp;SUBSTITUTE(Catalogo!$F173," ","")&amp;",")),Catalogo!$H173&lt;&gt;"N"),"●","")</f>
        <v/>
      </c>
      <c r="K173" s="19">
        <f>IF(AND(ISNUMBER(SEARCH(","&amp;K$1&amp;",",","&amp;SUBSTITUTE(Catalogo!$F173," ","")&amp;",")),Catalogo!$H173&lt;&gt;"N"),"●","")</f>
        <v/>
      </c>
      <c r="L173" s="19">
        <f>IF(AND(ISNUMBER(SEARCH(","&amp;L$1&amp;",",","&amp;SUBSTITUTE(Catalogo!$F173," ","")&amp;",")),Catalogo!$H173&lt;&gt;"N"),"●","")</f>
        <v/>
      </c>
      <c r="M173" s="19">
        <f>IF(AND(ISNUMBER(SEARCH(","&amp;M$1&amp;",",","&amp;SUBSTITUTE(Catalogo!$F173," ","")&amp;",")),Catalogo!$H173&lt;&gt;"N"),"●","")</f>
        <v/>
      </c>
    </row>
    <row r="174">
      <c r="A174" s="17">
        <f>Catalogo!A174</f>
        <v/>
      </c>
      <c r="B174" s="17">
        <f>Catalogo!C174</f>
        <v/>
      </c>
      <c r="C174" s="19">
        <f>IF(Catalogo!H174="","(vazio)",Catalogo!H174)</f>
        <v/>
      </c>
      <c r="D174" s="19">
        <f>IF(AND(ISNUMBER(SEARCH(","&amp;D$1&amp;",",","&amp;SUBSTITUTE(Catalogo!$F174," ","")&amp;",")),Catalogo!$H174&lt;&gt;"N"),"●","")</f>
        <v/>
      </c>
      <c r="E174" s="19">
        <f>IF(AND(ISNUMBER(SEARCH(","&amp;E$1&amp;",",","&amp;SUBSTITUTE(Catalogo!$F174," ","")&amp;",")),Catalogo!$H174&lt;&gt;"N"),"●","")</f>
        <v/>
      </c>
      <c r="F174" s="19">
        <f>IF(AND(ISNUMBER(SEARCH(","&amp;F$1&amp;",",","&amp;SUBSTITUTE(Catalogo!$F174," ","")&amp;",")),Catalogo!$H174&lt;&gt;"N"),"●","")</f>
        <v/>
      </c>
      <c r="G174" s="19">
        <f>IF(AND(ISNUMBER(SEARCH(","&amp;G$1&amp;",",","&amp;SUBSTITUTE(Catalogo!$F174," ","")&amp;",")),Catalogo!$H174&lt;&gt;"N"),"●","")</f>
        <v/>
      </c>
      <c r="H174" s="19">
        <f>IF(AND(ISNUMBER(SEARCH(","&amp;H$1&amp;",",","&amp;SUBSTITUTE(Catalogo!$F174," ","")&amp;",")),Catalogo!$H174&lt;&gt;"N"),"●","")</f>
        <v/>
      </c>
      <c r="I174" s="19">
        <f>IF(AND(ISNUMBER(SEARCH(","&amp;I$1&amp;",",","&amp;SUBSTITUTE(Catalogo!$F174," ","")&amp;",")),Catalogo!$H174&lt;&gt;"N"),"●","")</f>
        <v/>
      </c>
      <c r="J174" s="19">
        <f>IF(AND(ISNUMBER(SEARCH(","&amp;J$1&amp;",",","&amp;SUBSTITUTE(Catalogo!$F174," ","")&amp;",")),Catalogo!$H174&lt;&gt;"N"),"●","")</f>
        <v/>
      </c>
      <c r="K174" s="19">
        <f>IF(AND(ISNUMBER(SEARCH(","&amp;K$1&amp;",",","&amp;SUBSTITUTE(Catalogo!$F174," ","")&amp;",")),Catalogo!$H174&lt;&gt;"N"),"●","")</f>
        <v/>
      </c>
      <c r="L174" s="19">
        <f>IF(AND(ISNUMBER(SEARCH(","&amp;L$1&amp;",",","&amp;SUBSTITUTE(Catalogo!$F174," ","")&amp;",")),Catalogo!$H174&lt;&gt;"N"),"●","")</f>
        <v/>
      </c>
      <c r="M174" s="19">
        <f>IF(AND(ISNUMBER(SEARCH(","&amp;M$1&amp;",",","&amp;SUBSTITUTE(Catalogo!$F174," ","")&amp;",")),Catalogo!$H174&lt;&gt;"N"),"●","")</f>
        <v/>
      </c>
    </row>
    <row r="175">
      <c r="A175" s="17">
        <f>Catalogo!A175</f>
        <v/>
      </c>
      <c r="B175" s="17">
        <f>Catalogo!C175</f>
        <v/>
      </c>
      <c r="C175" s="19">
        <f>IF(Catalogo!H175="","(vazio)",Catalogo!H175)</f>
        <v/>
      </c>
      <c r="D175" s="19">
        <f>IF(AND(ISNUMBER(SEARCH(","&amp;D$1&amp;",",","&amp;SUBSTITUTE(Catalogo!$F175," ","")&amp;",")),Catalogo!$H175&lt;&gt;"N"),"●","")</f>
        <v/>
      </c>
      <c r="E175" s="19">
        <f>IF(AND(ISNUMBER(SEARCH(","&amp;E$1&amp;",",","&amp;SUBSTITUTE(Catalogo!$F175," ","")&amp;",")),Catalogo!$H175&lt;&gt;"N"),"●","")</f>
        <v/>
      </c>
      <c r="F175" s="19">
        <f>IF(AND(ISNUMBER(SEARCH(","&amp;F$1&amp;",",","&amp;SUBSTITUTE(Catalogo!$F175," ","")&amp;",")),Catalogo!$H175&lt;&gt;"N"),"●","")</f>
        <v/>
      </c>
      <c r="G175" s="19">
        <f>IF(AND(ISNUMBER(SEARCH(","&amp;G$1&amp;",",","&amp;SUBSTITUTE(Catalogo!$F175," ","")&amp;",")),Catalogo!$H175&lt;&gt;"N"),"●","")</f>
        <v/>
      </c>
      <c r="H175" s="19">
        <f>IF(AND(ISNUMBER(SEARCH(","&amp;H$1&amp;",",","&amp;SUBSTITUTE(Catalogo!$F175," ","")&amp;",")),Catalogo!$H175&lt;&gt;"N"),"●","")</f>
        <v/>
      </c>
      <c r="I175" s="19">
        <f>IF(AND(ISNUMBER(SEARCH(","&amp;I$1&amp;",",","&amp;SUBSTITUTE(Catalogo!$F175," ","")&amp;",")),Catalogo!$H175&lt;&gt;"N"),"●","")</f>
        <v/>
      </c>
      <c r="J175" s="19">
        <f>IF(AND(ISNUMBER(SEARCH(","&amp;J$1&amp;",",","&amp;SUBSTITUTE(Catalogo!$F175," ","")&amp;",")),Catalogo!$H175&lt;&gt;"N"),"●","")</f>
        <v/>
      </c>
      <c r="K175" s="19">
        <f>IF(AND(ISNUMBER(SEARCH(","&amp;K$1&amp;",",","&amp;SUBSTITUTE(Catalogo!$F175," ","")&amp;",")),Catalogo!$H175&lt;&gt;"N"),"●","")</f>
        <v/>
      </c>
      <c r="L175" s="19">
        <f>IF(AND(ISNUMBER(SEARCH(","&amp;L$1&amp;",",","&amp;SUBSTITUTE(Catalogo!$F175," ","")&amp;",")),Catalogo!$H175&lt;&gt;"N"),"●","")</f>
        <v/>
      </c>
      <c r="M175" s="19">
        <f>IF(AND(ISNUMBER(SEARCH(","&amp;M$1&amp;",",","&amp;SUBSTITUTE(Catalogo!$F175," ","")&amp;",")),Catalogo!$H175&lt;&gt;"N"),"●","")</f>
        <v/>
      </c>
    </row>
    <row r="176">
      <c r="A176" s="17">
        <f>Catalogo!A176</f>
        <v/>
      </c>
      <c r="B176" s="17">
        <f>Catalogo!C176</f>
        <v/>
      </c>
      <c r="C176" s="19">
        <f>IF(Catalogo!H176="","(vazio)",Catalogo!H176)</f>
        <v/>
      </c>
      <c r="D176" s="19">
        <f>IF(AND(ISNUMBER(SEARCH(","&amp;D$1&amp;",",","&amp;SUBSTITUTE(Catalogo!$F176," ","")&amp;",")),Catalogo!$H176&lt;&gt;"N"),"●","")</f>
        <v/>
      </c>
      <c r="E176" s="19">
        <f>IF(AND(ISNUMBER(SEARCH(","&amp;E$1&amp;",",","&amp;SUBSTITUTE(Catalogo!$F176," ","")&amp;",")),Catalogo!$H176&lt;&gt;"N"),"●","")</f>
        <v/>
      </c>
      <c r="F176" s="19">
        <f>IF(AND(ISNUMBER(SEARCH(","&amp;F$1&amp;",",","&amp;SUBSTITUTE(Catalogo!$F176," ","")&amp;",")),Catalogo!$H176&lt;&gt;"N"),"●","")</f>
        <v/>
      </c>
      <c r="G176" s="19">
        <f>IF(AND(ISNUMBER(SEARCH(","&amp;G$1&amp;",",","&amp;SUBSTITUTE(Catalogo!$F176," ","")&amp;",")),Catalogo!$H176&lt;&gt;"N"),"●","")</f>
        <v/>
      </c>
      <c r="H176" s="19">
        <f>IF(AND(ISNUMBER(SEARCH(","&amp;H$1&amp;",",","&amp;SUBSTITUTE(Catalogo!$F176," ","")&amp;",")),Catalogo!$H176&lt;&gt;"N"),"●","")</f>
        <v/>
      </c>
      <c r="I176" s="19">
        <f>IF(AND(ISNUMBER(SEARCH(","&amp;I$1&amp;",",","&amp;SUBSTITUTE(Catalogo!$F176," ","")&amp;",")),Catalogo!$H176&lt;&gt;"N"),"●","")</f>
        <v/>
      </c>
      <c r="J176" s="19">
        <f>IF(AND(ISNUMBER(SEARCH(","&amp;J$1&amp;",",","&amp;SUBSTITUTE(Catalogo!$F176," ","")&amp;",")),Catalogo!$H176&lt;&gt;"N"),"●","")</f>
        <v/>
      </c>
      <c r="K176" s="19">
        <f>IF(AND(ISNUMBER(SEARCH(","&amp;K$1&amp;",",","&amp;SUBSTITUTE(Catalogo!$F176," ","")&amp;",")),Catalogo!$H176&lt;&gt;"N"),"●","")</f>
        <v/>
      </c>
      <c r="L176" s="19">
        <f>IF(AND(ISNUMBER(SEARCH(","&amp;L$1&amp;",",","&amp;SUBSTITUTE(Catalogo!$F176," ","")&amp;",")),Catalogo!$H176&lt;&gt;"N"),"●","")</f>
        <v/>
      </c>
      <c r="M176" s="19">
        <f>IF(AND(ISNUMBER(SEARCH(","&amp;M$1&amp;",",","&amp;SUBSTITUTE(Catalogo!$F176," ","")&amp;",")),Catalogo!$H176&lt;&gt;"N"),"●","")</f>
        <v/>
      </c>
    </row>
    <row r="177">
      <c r="A177" s="17">
        <f>Catalogo!A177</f>
        <v/>
      </c>
      <c r="B177" s="17">
        <f>Catalogo!C177</f>
        <v/>
      </c>
      <c r="C177" s="19">
        <f>IF(Catalogo!H177="","(vazio)",Catalogo!H177)</f>
        <v/>
      </c>
      <c r="D177" s="19">
        <f>IF(AND(ISNUMBER(SEARCH(","&amp;D$1&amp;",",","&amp;SUBSTITUTE(Catalogo!$F177," ","")&amp;",")),Catalogo!$H177&lt;&gt;"N"),"●","")</f>
        <v/>
      </c>
      <c r="E177" s="19">
        <f>IF(AND(ISNUMBER(SEARCH(","&amp;E$1&amp;",",","&amp;SUBSTITUTE(Catalogo!$F177," ","")&amp;",")),Catalogo!$H177&lt;&gt;"N"),"●","")</f>
        <v/>
      </c>
      <c r="F177" s="19">
        <f>IF(AND(ISNUMBER(SEARCH(","&amp;F$1&amp;",",","&amp;SUBSTITUTE(Catalogo!$F177," ","")&amp;",")),Catalogo!$H177&lt;&gt;"N"),"●","")</f>
        <v/>
      </c>
      <c r="G177" s="19">
        <f>IF(AND(ISNUMBER(SEARCH(","&amp;G$1&amp;",",","&amp;SUBSTITUTE(Catalogo!$F177," ","")&amp;",")),Catalogo!$H177&lt;&gt;"N"),"●","")</f>
        <v/>
      </c>
      <c r="H177" s="19">
        <f>IF(AND(ISNUMBER(SEARCH(","&amp;H$1&amp;",",","&amp;SUBSTITUTE(Catalogo!$F177," ","")&amp;",")),Catalogo!$H177&lt;&gt;"N"),"●","")</f>
        <v/>
      </c>
      <c r="I177" s="19">
        <f>IF(AND(ISNUMBER(SEARCH(","&amp;I$1&amp;",",","&amp;SUBSTITUTE(Catalogo!$F177," ","")&amp;",")),Catalogo!$H177&lt;&gt;"N"),"●","")</f>
        <v/>
      </c>
      <c r="J177" s="19">
        <f>IF(AND(ISNUMBER(SEARCH(","&amp;J$1&amp;",",","&amp;SUBSTITUTE(Catalogo!$F177," ","")&amp;",")),Catalogo!$H177&lt;&gt;"N"),"●","")</f>
        <v/>
      </c>
      <c r="K177" s="19">
        <f>IF(AND(ISNUMBER(SEARCH(","&amp;K$1&amp;",",","&amp;SUBSTITUTE(Catalogo!$F177," ","")&amp;",")),Catalogo!$H177&lt;&gt;"N"),"●","")</f>
        <v/>
      </c>
      <c r="L177" s="19">
        <f>IF(AND(ISNUMBER(SEARCH(","&amp;L$1&amp;",",","&amp;SUBSTITUTE(Catalogo!$F177," ","")&amp;",")),Catalogo!$H177&lt;&gt;"N"),"●","")</f>
        <v/>
      </c>
      <c r="M177" s="19">
        <f>IF(AND(ISNUMBER(SEARCH(","&amp;M$1&amp;",",","&amp;SUBSTITUTE(Catalogo!$F177," ","")&amp;",")),Catalogo!$H177&lt;&gt;"N"),"●","")</f>
        <v/>
      </c>
    </row>
    <row r="178">
      <c r="A178" s="17">
        <f>Catalogo!A178</f>
        <v/>
      </c>
      <c r="B178" s="17">
        <f>Catalogo!C178</f>
        <v/>
      </c>
      <c r="C178" s="19">
        <f>IF(Catalogo!H178="","(vazio)",Catalogo!H178)</f>
        <v/>
      </c>
      <c r="D178" s="19">
        <f>IF(AND(ISNUMBER(SEARCH(","&amp;D$1&amp;",",","&amp;SUBSTITUTE(Catalogo!$F178," ","")&amp;",")),Catalogo!$H178&lt;&gt;"N"),"●","")</f>
        <v/>
      </c>
      <c r="E178" s="19">
        <f>IF(AND(ISNUMBER(SEARCH(","&amp;E$1&amp;",",","&amp;SUBSTITUTE(Catalogo!$F178," ","")&amp;",")),Catalogo!$H178&lt;&gt;"N"),"●","")</f>
        <v/>
      </c>
      <c r="F178" s="19">
        <f>IF(AND(ISNUMBER(SEARCH(","&amp;F$1&amp;",",","&amp;SUBSTITUTE(Catalogo!$F178," ","")&amp;",")),Catalogo!$H178&lt;&gt;"N"),"●","")</f>
        <v/>
      </c>
      <c r="G178" s="19">
        <f>IF(AND(ISNUMBER(SEARCH(","&amp;G$1&amp;",",","&amp;SUBSTITUTE(Catalogo!$F178," ","")&amp;",")),Catalogo!$H178&lt;&gt;"N"),"●","")</f>
        <v/>
      </c>
      <c r="H178" s="19">
        <f>IF(AND(ISNUMBER(SEARCH(","&amp;H$1&amp;",",","&amp;SUBSTITUTE(Catalogo!$F178," ","")&amp;",")),Catalogo!$H178&lt;&gt;"N"),"●","")</f>
        <v/>
      </c>
      <c r="I178" s="19">
        <f>IF(AND(ISNUMBER(SEARCH(","&amp;I$1&amp;",",","&amp;SUBSTITUTE(Catalogo!$F178," ","")&amp;",")),Catalogo!$H178&lt;&gt;"N"),"●","")</f>
        <v/>
      </c>
      <c r="J178" s="19">
        <f>IF(AND(ISNUMBER(SEARCH(","&amp;J$1&amp;",",","&amp;SUBSTITUTE(Catalogo!$F178," ","")&amp;",")),Catalogo!$H178&lt;&gt;"N"),"●","")</f>
        <v/>
      </c>
      <c r="K178" s="19">
        <f>IF(AND(ISNUMBER(SEARCH(","&amp;K$1&amp;",",","&amp;SUBSTITUTE(Catalogo!$F178," ","")&amp;",")),Catalogo!$H178&lt;&gt;"N"),"●","")</f>
        <v/>
      </c>
      <c r="L178" s="19">
        <f>IF(AND(ISNUMBER(SEARCH(","&amp;L$1&amp;",",","&amp;SUBSTITUTE(Catalogo!$F178," ","")&amp;",")),Catalogo!$H178&lt;&gt;"N"),"●","")</f>
        <v/>
      </c>
      <c r="M178" s="19">
        <f>IF(AND(ISNUMBER(SEARCH(","&amp;M$1&amp;",",","&amp;SUBSTITUTE(Catalogo!$F178," ","")&amp;",")),Catalogo!$H178&lt;&gt;"N"),"●","")</f>
        <v/>
      </c>
    </row>
    <row r="179">
      <c r="A179" s="17">
        <f>Catalogo!A179</f>
        <v/>
      </c>
      <c r="B179" s="17">
        <f>Catalogo!C179</f>
        <v/>
      </c>
      <c r="C179" s="19">
        <f>IF(Catalogo!H179="","(vazio)",Catalogo!H179)</f>
        <v/>
      </c>
      <c r="D179" s="19">
        <f>IF(AND(ISNUMBER(SEARCH(","&amp;D$1&amp;",",","&amp;SUBSTITUTE(Catalogo!$F179," ","")&amp;",")),Catalogo!$H179&lt;&gt;"N"),"●","")</f>
        <v/>
      </c>
      <c r="E179" s="19">
        <f>IF(AND(ISNUMBER(SEARCH(","&amp;E$1&amp;",",","&amp;SUBSTITUTE(Catalogo!$F179," ","")&amp;",")),Catalogo!$H179&lt;&gt;"N"),"●","")</f>
        <v/>
      </c>
      <c r="F179" s="19">
        <f>IF(AND(ISNUMBER(SEARCH(","&amp;F$1&amp;",",","&amp;SUBSTITUTE(Catalogo!$F179," ","")&amp;",")),Catalogo!$H179&lt;&gt;"N"),"●","")</f>
        <v/>
      </c>
      <c r="G179" s="19">
        <f>IF(AND(ISNUMBER(SEARCH(","&amp;G$1&amp;",",","&amp;SUBSTITUTE(Catalogo!$F179," ","")&amp;",")),Catalogo!$H179&lt;&gt;"N"),"●","")</f>
        <v/>
      </c>
      <c r="H179" s="19">
        <f>IF(AND(ISNUMBER(SEARCH(","&amp;H$1&amp;",",","&amp;SUBSTITUTE(Catalogo!$F179," ","")&amp;",")),Catalogo!$H179&lt;&gt;"N"),"●","")</f>
        <v/>
      </c>
      <c r="I179" s="19">
        <f>IF(AND(ISNUMBER(SEARCH(","&amp;I$1&amp;",",","&amp;SUBSTITUTE(Catalogo!$F179," ","")&amp;",")),Catalogo!$H179&lt;&gt;"N"),"●","")</f>
        <v/>
      </c>
      <c r="J179" s="19">
        <f>IF(AND(ISNUMBER(SEARCH(","&amp;J$1&amp;",",","&amp;SUBSTITUTE(Catalogo!$F179," ","")&amp;",")),Catalogo!$H179&lt;&gt;"N"),"●","")</f>
        <v/>
      </c>
      <c r="K179" s="19">
        <f>IF(AND(ISNUMBER(SEARCH(","&amp;K$1&amp;",",","&amp;SUBSTITUTE(Catalogo!$F179," ","")&amp;",")),Catalogo!$H179&lt;&gt;"N"),"●","")</f>
        <v/>
      </c>
      <c r="L179" s="19">
        <f>IF(AND(ISNUMBER(SEARCH(","&amp;L$1&amp;",",","&amp;SUBSTITUTE(Catalogo!$F179," ","")&amp;",")),Catalogo!$H179&lt;&gt;"N"),"●","")</f>
        <v/>
      </c>
      <c r="M179" s="19">
        <f>IF(AND(ISNUMBER(SEARCH(","&amp;M$1&amp;",",","&amp;SUBSTITUTE(Catalogo!$F179," ","")&amp;",")),Catalogo!$H179&lt;&gt;"N"),"●","")</f>
        <v/>
      </c>
    </row>
    <row r="180">
      <c r="A180" s="17">
        <f>Catalogo!A180</f>
        <v/>
      </c>
      <c r="B180" s="17">
        <f>Catalogo!C180</f>
        <v/>
      </c>
      <c r="C180" s="19">
        <f>IF(Catalogo!H180="","(vazio)",Catalogo!H180)</f>
        <v/>
      </c>
      <c r="D180" s="19">
        <f>IF(AND(ISNUMBER(SEARCH(","&amp;D$1&amp;",",","&amp;SUBSTITUTE(Catalogo!$F180," ","")&amp;",")),Catalogo!$H180&lt;&gt;"N"),"●","")</f>
        <v/>
      </c>
      <c r="E180" s="19">
        <f>IF(AND(ISNUMBER(SEARCH(","&amp;E$1&amp;",",","&amp;SUBSTITUTE(Catalogo!$F180," ","")&amp;",")),Catalogo!$H180&lt;&gt;"N"),"●","")</f>
        <v/>
      </c>
      <c r="F180" s="19">
        <f>IF(AND(ISNUMBER(SEARCH(","&amp;F$1&amp;",",","&amp;SUBSTITUTE(Catalogo!$F180," ","")&amp;",")),Catalogo!$H180&lt;&gt;"N"),"●","")</f>
        <v/>
      </c>
      <c r="G180" s="19">
        <f>IF(AND(ISNUMBER(SEARCH(","&amp;G$1&amp;",",","&amp;SUBSTITUTE(Catalogo!$F180," ","")&amp;",")),Catalogo!$H180&lt;&gt;"N"),"●","")</f>
        <v/>
      </c>
      <c r="H180" s="19">
        <f>IF(AND(ISNUMBER(SEARCH(","&amp;H$1&amp;",",","&amp;SUBSTITUTE(Catalogo!$F180," ","")&amp;",")),Catalogo!$H180&lt;&gt;"N"),"●","")</f>
        <v/>
      </c>
      <c r="I180" s="19">
        <f>IF(AND(ISNUMBER(SEARCH(","&amp;I$1&amp;",",","&amp;SUBSTITUTE(Catalogo!$F180," ","")&amp;",")),Catalogo!$H180&lt;&gt;"N"),"●","")</f>
        <v/>
      </c>
      <c r="J180" s="19">
        <f>IF(AND(ISNUMBER(SEARCH(","&amp;J$1&amp;",",","&amp;SUBSTITUTE(Catalogo!$F180," ","")&amp;",")),Catalogo!$H180&lt;&gt;"N"),"●","")</f>
        <v/>
      </c>
      <c r="K180" s="19">
        <f>IF(AND(ISNUMBER(SEARCH(","&amp;K$1&amp;",",","&amp;SUBSTITUTE(Catalogo!$F180," ","")&amp;",")),Catalogo!$H180&lt;&gt;"N"),"●","")</f>
        <v/>
      </c>
      <c r="L180" s="19">
        <f>IF(AND(ISNUMBER(SEARCH(","&amp;L$1&amp;",",","&amp;SUBSTITUTE(Catalogo!$F180," ","")&amp;",")),Catalogo!$H180&lt;&gt;"N"),"●","")</f>
        <v/>
      </c>
      <c r="M180" s="19">
        <f>IF(AND(ISNUMBER(SEARCH(","&amp;M$1&amp;",",","&amp;SUBSTITUTE(Catalogo!$F180," ","")&amp;",")),Catalogo!$H180&lt;&gt;"N"),"●","")</f>
        <v/>
      </c>
    </row>
    <row r="181">
      <c r="A181" s="17">
        <f>Catalogo!A181</f>
        <v/>
      </c>
      <c r="B181" s="17">
        <f>Catalogo!C181</f>
        <v/>
      </c>
      <c r="C181" s="19">
        <f>IF(Catalogo!H181="","(vazio)",Catalogo!H181)</f>
        <v/>
      </c>
      <c r="D181" s="19">
        <f>IF(AND(ISNUMBER(SEARCH(","&amp;D$1&amp;",",","&amp;SUBSTITUTE(Catalogo!$F181," ","")&amp;",")),Catalogo!$H181&lt;&gt;"N"),"●","")</f>
        <v/>
      </c>
      <c r="E181" s="19">
        <f>IF(AND(ISNUMBER(SEARCH(","&amp;E$1&amp;",",","&amp;SUBSTITUTE(Catalogo!$F181," ","")&amp;",")),Catalogo!$H181&lt;&gt;"N"),"●","")</f>
        <v/>
      </c>
      <c r="F181" s="19">
        <f>IF(AND(ISNUMBER(SEARCH(","&amp;F$1&amp;",",","&amp;SUBSTITUTE(Catalogo!$F181," ","")&amp;",")),Catalogo!$H181&lt;&gt;"N"),"●","")</f>
        <v/>
      </c>
      <c r="G181" s="19">
        <f>IF(AND(ISNUMBER(SEARCH(","&amp;G$1&amp;",",","&amp;SUBSTITUTE(Catalogo!$F181," ","")&amp;",")),Catalogo!$H181&lt;&gt;"N"),"●","")</f>
        <v/>
      </c>
      <c r="H181" s="19">
        <f>IF(AND(ISNUMBER(SEARCH(","&amp;H$1&amp;",",","&amp;SUBSTITUTE(Catalogo!$F181," ","")&amp;",")),Catalogo!$H181&lt;&gt;"N"),"●","")</f>
        <v/>
      </c>
      <c r="I181" s="19">
        <f>IF(AND(ISNUMBER(SEARCH(","&amp;I$1&amp;",",","&amp;SUBSTITUTE(Catalogo!$F181," ","")&amp;",")),Catalogo!$H181&lt;&gt;"N"),"●","")</f>
        <v/>
      </c>
      <c r="J181" s="19">
        <f>IF(AND(ISNUMBER(SEARCH(","&amp;J$1&amp;",",","&amp;SUBSTITUTE(Catalogo!$F181," ","")&amp;",")),Catalogo!$H181&lt;&gt;"N"),"●","")</f>
        <v/>
      </c>
      <c r="K181" s="19">
        <f>IF(AND(ISNUMBER(SEARCH(","&amp;K$1&amp;",",","&amp;SUBSTITUTE(Catalogo!$F181," ","")&amp;",")),Catalogo!$H181&lt;&gt;"N"),"●","")</f>
        <v/>
      </c>
      <c r="L181" s="19">
        <f>IF(AND(ISNUMBER(SEARCH(","&amp;L$1&amp;",",","&amp;SUBSTITUTE(Catalogo!$F181," ","")&amp;",")),Catalogo!$H181&lt;&gt;"N"),"●","")</f>
        <v/>
      </c>
      <c r="M181" s="19">
        <f>IF(AND(ISNUMBER(SEARCH(","&amp;M$1&amp;",",","&amp;SUBSTITUTE(Catalogo!$F181," ","")&amp;",")),Catalogo!$H181&lt;&gt;"N"),"●","")</f>
        <v/>
      </c>
    </row>
    <row r="182">
      <c r="A182" s="17">
        <f>Catalogo!A182</f>
        <v/>
      </c>
      <c r="B182" s="17">
        <f>Catalogo!C182</f>
        <v/>
      </c>
      <c r="C182" s="19">
        <f>IF(Catalogo!H182="","(vazio)",Catalogo!H182)</f>
        <v/>
      </c>
      <c r="D182" s="19">
        <f>IF(AND(ISNUMBER(SEARCH(","&amp;D$1&amp;",",","&amp;SUBSTITUTE(Catalogo!$F182," ","")&amp;",")),Catalogo!$H182&lt;&gt;"N"),"●","")</f>
        <v/>
      </c>
      <c r="E182" s="19">
        <f>IF(AND(ISNUMBER(SEARCH(","&amp;E$1&amp;",",","&amp;SUBSTITUTE(Catalogo!$F182," ","")&amp;",")),Catalogo!$H182&lt;&gt;"N"),"●","")</f>
        <v/>
      </c>
      <c r="F182" s="19">
        <f>IF(AND(ISNUMBER(SEARCH(","&amp;F$1&amp;",",","&amp;SUBSTITUTE(Catalogo!$F182," ","")&amp;",")),Catalogo!$H182&lt;&gt;"N"),"●","")</f>
        <v/>
      </c>
      <c r="G182" s="19">
        <f>IF(AND(ISNUMBER(SEARCH(","&amp;G$1&amp;",",","&amp;SUBSTITUTE(Catalogo!$F182," ","")&amp;",")),Catalogo!$H182&lt;&gt;"N"),"●","")</f>
        <v/>
      </c>
      <c r="H182" s="19">
        <f>IF(AND(ISNUMBER(SEARCH(","&amp;H$1&amp;",",","&amp;SUBSTITUTE(Catalogo!$F182," ","")&amp;",")),Catalogo!$H182&lt;&gt;"N"),"●","")</f>
        <v/>
      </c>
      <c r="I182" s="19">
        <f>IF(AND(ISNUMBER(SEARCH(","&amp;I$1&amp;",",","&amp;SUBSTITUTE(Catalogo!$F182," ","")&amp;",")),Catalogo!$H182&lt;&gt;"N"),"●","")</f>
        <v/>
      </c>
      <c r="J182" s="19">
        <f>IF(AND(ISNUMBER(SEARCH(","&amp;J$1&amp;",",","&amp;SUBSTITUTE(Catalogo!$F182," ","")&amp;",")),Catalogo!$H182&lt;&gt;"N"),"●","")</f>
        <v/>
      </c>
      <c r="K182" s="19">
        <f>IF(AND(ISNUMBER(SEARCH(","&amp;K$1&amp;",",","&amp;SUBSTITUTE(Catalogo!$F182," ","")&amp;",")),Catalogo!$H182&lt;&gt;"N"),"●","")</f>
        <v/>
      </c>
      <c r="L182" s="19">
        <f>IF(AND(ISNUMBER(SEARCH(","&amp;L$1&amp;",",","&amp;SUBSTITUTE(Catalogo!$F182," ","")&amp;",")),Catalogo!$H182&lt;&gt;"N"),"●","")</f>
        <v/>
      </c>
      <c r="M182" s="19">
        <f>IF(AND(ISNUMBER(SEARCH(","&amp;M$1&amp;",",","&amp;SUBSTITUTE(Catalogo!$F182," ","")&amp;",")),Catalogo!$H182&lt;&gt;"N"),"●","")</f>
        <v/>
      </c>
    </row>
    <row r="183">
      <c r="A183" s="17">
        <f>Catalogo!A183</f>
        <v/>
      </c>
      <c r="B183" s="17">
        <f>Catalogo!C183</f>
        <v/>
      </c>
      <c r="C183" s="19">
        <f>IF(Catalogo!H183="","(vazio)",Catalogo!H183)</f>
        <v/>
      </c>
      <c r="D183" s="19">
        <f>IF(AND(ISNUMBER(SEARCH(","&amp;D$1&amp;",",","&amp;SUBSTITUTE(Catalogo!$F183," ","")&amp;",")),Catalogo!$H183&lt;&gt;"N"),"●","")</f>
        <v/>
      </c>
      <c r="E183" s="19">
        <f>IF(AND(ISNUMBER(SEARCH(","&amp;E$1&amp;",",","&amp;SUBSTITUTE(Catalogo!$F183," ","")&amp;",")),Catalogo!$H183&lt;&gt;"N"),"●","")</f>
        <v/>
      </c>
      <c r="F183" s="19">
        <f>IF(AND(ISNUMBER(SEARCH(","&amp;F$1&amp;",",","&amp;SUBSTITUTE(Catalogo!$F183," ","")&amp;",")),Catalogo!$H183&lt;&gt;"N"),"●","")</f>
        <v/>
      </c>
      <c r="G183" s="19">
        <f>IF(AND(ISNUMBER(SEARCH(","&amp;G$1&amp;",",","&amp;SUBSTITUTE(Catalogo!$F183," ","")&amp;",")),Catalogo!$H183&lt;&gt;"N"),"●","")</f>
        <v/>
      </c>
      <c r="H183" s="19">
        <f>IF(AND(ISNUMBER(SEARCH(","&amp;H$1&amp;",",","&amp;SUBSTITUTE(Catalogo!$F183," ","")&amp;",")),Catalogo!$H183&lt;&gt;"N"),"●","")</f>
        <v/>
      </c>
      <c r="I183" s="19">
        <f>IF(AND(ISNUMBER(SEARCH(","&amp;I$1&amp;",",","&amp;SUBSTITUTE(Catalogo!$F183," ","")&amp;",")),Catalogo!$H183&lt;&gt;"N"),"●","")</f>
        <v/>
      </c>
      <c r="J183" s="19">
        <f>IF(AND(ISNUMBER(SEARCH(","&amp;J$1&amp;",",","&amp;SUBSTITUTE(Catalogo!$F183," ","")&amp;",")),Catalogo!$H183&lt;&gt;"N"),"●","")</f>
        <v/>
      </c>
      <c r="K183" s="19">
        <f>IF(AND(ISNUMBER(SEARCH(","&amp;K$1&amp;",",","&amp;SUBSTITUTE(Catalogo!$F183," ","")&amp;",")),Catalogo!$H183&lt;&gt;"N"),"●","")</f>
        <v/>
      </c>
      <c r="L183" s="19">
        <f>IF(AND(ISNUMBER(SEARCH(","&amp;L$1&amp;",",","&amp;SUBSTITUTE(Catalogo!$F183," ","")&amp;",")),Catalogo!$H183&lt;&gt;"N"),"●","")</f>
        <v/>
      </c>
      <c r="M183" s="19">
        <f>IF(AND(ISNUMBER(SEARCH(","&amp;M$1&amp;",",","&amp;SUBSTITUTE(Catalogo!$F183," ","")&amp;",")),Catalogo!$H183&lt;&gt;"N"),"●","")</f>
        <v/>
      </c>
    </row>
    <row r="184">
      <c r="A184" s="17">
        <f>Catalogo!A184</f>
        <v/>
      </c>
      <c r="B184" s="17">
        <f>Catalogo!C184</f>
        <v/>
      </c>
      <c r="C184" s="19">
        <f>IF(Catalogo!H184="","(vazio)",Catalogo!H184)</f>
        <v/>
      </c>
      <c r="D184" s="19">
        <f>IF(AND(ISNUMBER(SEARCH(","&amp;D$1&amp;",",","&amp;SUBSTITUTE(Catalogo!$F184," ","")&amp;",")),Catalogo!$H184&lt;&gt;"N"),"●","")</f>
        <v/>
      </c>
      <c r="E184" s="19">
        <f>IF(AND(ISNUMBER(SEARCH(","&amp;E$1&amp;",",","&amp;SUBSTITUTE(Catalogo!$F184," ","")&amp;",")),Catalogo!$H184&lt;&gt;"N"),"●","")</f>
        <v/>
      </c>
      <c r="F184" s="19">
        <f>IF(AND(ISNUMBER(SEARCH(","&amp;F$1&amp;",",","&amp;SUBSTITUTE(Catalogo!$F184," ","")&amp;",")),Catalogo!$H184&lt;&gt;"N"),"●","")</f>
        <v/>
      </c>
      <c r="G184" s="19">
        <f>IF(AND(ISNUMBER(SEARCH(","&amp;G$1&amp;",",","&amp;SUBSTITUTE(Catalogo!$F184," ","")&amp;",")),Catalogo!$H184&lt;&gt;"N"),"●","")</f>
        <v/>
      </c>
      <c r="H184" s="19">
        <f>IF(AND(ISNUMBER(SEARCH(","&amp;H$1&amp;",",","&amp;SUBSTITUTE(Catalogo!$F184," ","")&amp;",")),Catalogo!$H184&lt;&gt;"N"),"●","")</f>
        <v/>
      </c>
      <c r="I184" s="19">
        <f>IF(AND(ISNUMBER(SEARCH(","&amp;I$1&amp;",",","&amp;SUBSTITUTE(Catalogo!$F184," ","")&amp;",")),Catalogo!$H184&lt;&gt;"N"),"●","")</f>
        <v/>
      </c>
      <c r="J184" s="19">
        <f>IF(AND(ISNUMBER(SEARCH(","&amp;J$1&amp;",",","&amp;SUBSTITUTE(Catalogo!$F184," ","")&amp;",")),Catalogo!$H184&lt;&gt;"N"),"●","")</f>
        <v/>
      </c>
      <c r="K184" s="19">
        <f>IF(AND(ISNUMBER(SEARCH(","&amp;K$1&amp;",",","&amp;SUBSTITUTE(Catalogo!$F184," ","")&amp;",")),Catalogo!$H184&lt;&gt;"N"),"●","")</f>
        <v/>
      </c>
      <c r="L184" s="19">
        <f>IF(AND(ISNUMBER(SEARCH(","&amp;L$1&amp;",",","&amp;SUBSTITUTE(Catalogo!$F184," ","")&amp;",")),Catalogo!$H184&lt;&gt;"N"),"●","")</f>
        <v/>
      </c>
      <c r="M184" s="19">
        <f>IF(AND(ISNUMBER(SEARCH(","&amp;M$1&amp;",",","&amp;SUBSTITUTE(Catalogo!$F184," ","")&amp;",")),Catalogo!$H184&lt;&gt;"N"),"●","")</f>
        <v/>
      </c>
    </row>
    <row r="185">
      <c r="A185" s="17">
        <f>Catalogo!A185</f>
        <v/>
      </c>
      <c r="B185" s="17">
        <f>Catalogo!C185</f>
        <v/>
      </c>
      <c r="C185" s="19">
        <f>IF(Catalogo!H185="","(vazio)",Catalogo!H185)</f>
        <v/>
      </c>
      <c r="D185" s="19">
        <f>IF(AND(ISNUMBER(SEARCH(","&amp;D$1&amp;",",","&amp;SUBSTITUTE(Catalogo!$F185," ","")&amp;",")),Catalogo!$H185&lt;&gt;"N"),"●","")</f>
        <v/>
      </c>
      <c r="E185" s="19">
        <f>IF(AND(ISNUMBER(SEARCH(","&amp;E$1&amp;",",","&amp;SUBSTITUTE(Catalogo!$F185," ","")&amp;",")),Catalogo!$H185&lt;&gt;"N"),"●","")</f>
        <v/>
      </c>
      <c r="F185" s="19">
        <f>IF(AND(ISNUMBER(SEARCH(","&amp;F$1&amp;",",","&amp;SUBSTITUTE(Catalogo!$F185," ","")&amp;",")),Catalogo!$H185&lt;&gt;"N"),"●","")</f>
        <v/>
      </c>
      <c r="G185" s="19">
        <f>IF(AND(ISNUMBER(SEARCH(","&amp;G$1&amp;",",","&amp;SUBSTITUTE(Catalogo!$F185," ","")&amp;",")),Catalogo!$H185&lt;&gt;"N"),"●","")</f>
        <v/>
      </c>
      <c r="H185" s="19">
        <f>IF(AND(ISNUMBER(SEARCH(","&amp;H$1&amp;",",","&amp;SUBSTITUTE(Catalogo!$F185," ","")&amp;",")),Catalogo!$H185&lt;&gt;"N"),"●","")</f>
        <v/>
      </c>
      <c r="I185" s="19">
        <f>IF(AND(ISNUMBER(SEARCH(","&amp;I$1&amp;",",","&amp;SUBSTITUTE(Catalogo!$F185," ","")&amp;",")),Catalogo!$H185&lt;&gt;"N"),"●","")</f>
        <v/>
      </c>
      <c r="J185" s="19">
        <f>IF(AND(ISNUMBER(SEARCH(","&amp;J$1&amp;",",","&amp;SUBSTITUTE(Catalogo!$F185," ","")&amp;",")),Catalogo!$H185&lt;&gt;"N"),"●","")</f>
        <v/>
      </c>
      <c r="K185" s="19">
        <f>IF(AND(ISNUMBER(SEARCH(","&amp;K$1&amp;",",","&amp;SUBSTITUTE(Catalogo!$F185," ","")&amp;",")),Catalogo!$H185&lt;&gt;"N"),"●","")</f>
        <v/>
      </c>
      <c r="L185" s="19">
        <f>IF(AND(ISNUMBER(SEARCH(","&amp;L$1&amp;",",","&amp;SUBSTITUTE(Catalogo!$F185," ","")&amp;",")),Catalogo!$H185&lt;&gt;"N"),"●","")</f>
        <v/>
      </c>
      <c r="M185" s="19">
        <f>IF(AND(ISNUMBER(SEARCH(","&amp;M$1&amp;",",","&amp;SUBSTITUTE(Catalogo!$F185," ","")&amp;",")),Catalogo!$H185&lt;&gt;"N"),"●","")</f>
        <v/>
      </c>
    </row>
    <row r="186">
      <c r="A186" s="17">
        <f>Catalogo!A186</f>
        <v/>
      </c>
      <c r="B186" s="17">
        <f>Catalogo!C186</f>
        <v/>
      </c>
      <c r="C186" s="19">
        <f>IF(Catalogo!H186="","(vazio)",Catalogo!H186)</f>
        <v/>
      </c>
      <c r="D186" s="19">
        <f>IF(AND(ISNUMBER(SEARCH(","&amp;D$1&amp;",",","&amp;SUBSTITUTE(Catalogo!$F186," ","")&amp;",")),Catalogo!$H186&lt;&gt;"N"),"●","")</f>
        <v/>
      </c>
      <c r="E186" s="19">
        <f>IF(AND(ISNUMBER(SEARCH(","&amp;E$1&amp;",",","&amp;SUBSTITUTE(Catalogo!$F186," ","")&amp;",")),Catalogo!$H186&lt;&gt;"N"),"●","")</f>
        <v/>
      </c>
      <c r="F186" s="19">
        <f>IF(AND(ISNUMBER(SEARCH(","&amp;F$1&amp;",",","&amp;SUBSTITUTE(Catalogo!$F186," ","")&amp;",")),Catalogo!$H186&lt;&gt;"N"),"●","")</f>
        <v/>
      </c>
      <c r="G186" s="19">
        <f>IF(AND(ISNUMBER(SEARCH(","&amp;G$1&amp;",",","&amp;SUBSTITUTE(Catalogo!$F186," ","")&amp;",")),Catalogo!$H186&lt;&gt;"N"),"●","")</f>
        <v/>
      </c>
      <c r="H186" s="19">
        <f>IF(AND(ISNUMBER(SEARCH(","&amp;H$1&amp;",",","&amp;SUBSTITUTE(Catalogo!$F186," ","")&amp;",")),Catalogo!$H186&lt;&gt;"N"),"●","")</f>
        <v/>
      </c>
      <c r="I186" s="19">
        <f>IF(AND(ISNUMBER(SEARCH(","&amp;I$1&amp;",",","&amp;SUBSTITUTE(Catalogo!$F186," ","")&amp;",")),Catalogo!$H186&lt;&gt;"N"),"●","")</f>
        <v/>
      </c>
      <c r="J186" s="19">
        <f>IF(AND(ISNUMBER(SEARCH(","&amp;J$1&amp;",",","&amp;SUBSTITUTE(Catalogo!$F186," ","")&amp;",")),Catalogo!$H186&lt;&gt;"N"),"●","")</f>
        <v/>
      </c>
      <c r="K186" s="19">
        <f>IF(AND(ISNUMBER(SEARCH(","&amp;K$1&amp;",",","&amp;SUBSTITUTE(Catalogo!$F186," ","")&amp;",")),Catalogo!$H186&lt;&gt;"N"),"●","")</f>
        <v/>
      </c>
      <c r="L186" s="19">
        <f>IF(AND(ISNUMBER(SEARCH(","&amp;L$1&amp;",",","&amp;SUBSTITUTE(Catalogo!$F186," ","")&amp;",")),Catalogo!$H186&lt;&gt;"N"),"●","")</f>
        <v/>
      </c>
      <c r="M186" s="19">
        <f>IF(AND(ISNUMBER(SEARCH(","&amp;M$1&amp;",",","&amp;SUBSTITUTE(Catalogo!$F186," ","")&amp;",")),Catalogo!$H186&lt;&gt;"N"),"●","")</f>
        <v/>
      </c>
    </row>
    <row r="187">
      <c r="A187" s="17">
        <f>Catalogo!A187</f>
        <v/>
      </c>
      <c r="B187" s="17">
        <f>Catalogo!C187</f>
        <v/>
      </c>
      <c r="C187" s="19">
        <f>IF(Catalogo!H187="","(vazio)",Catalogo!H187)</f>
        <v/>
      </c>
      <c r="D187" s="19">
        <f>IF(AND(ISNUMBER(SEARCH(","&amp;D$1&amp;",",","&amp;SUBSTITUTE(Catalogo!$F187," ","")&amp;",")),Catalogo!$H187&lt;&gt;"N"),"●","")</f>
        <v/>
      </c>
      <c r="E187" s="19">
        <f>IF(AND(ISNUMBER(SEARCH(","&amp;E$1&amp;",",","&amp;SUBSTITUTE(Catalogo!$F187," ","")&amp;",")),Catalogo!$H187&lt;&gt;"N"),"●","")</f>
        <v/>
      </c>
      <c r="F187" s="19">
        <f>IF(AND(ISNUMBER(SEARCH(","&amp;F$1&amp;",",","&amp;SUBSTITUTE(Catalogo!$F187," ","")&amp;",")),Catalogo!$H187&lt;&gt;"N"),"●","")</f>
        <v/>
      </c>
      <c r="G187" s="19">
        <f>IF(AND(ISNUMBER(SEARCH(","&amp;G$1&amp;",",","&amp;SUBSTITUTE(Catalogo!$F187," ","")&amp;",")),Catalogo!$H187&lt;&gt;"N"),"●","")</f>
        <v/>
      </c>
      <c r="H187" s="19">
        <f>IF(AND(ISNUMBER(SEARCH(","&amp;H$1&amp;",",","&amp;SUBSTITUTE(Catalogo!$F187," ","")&amp;",")),Catalogo!$H187&lt;&gt;"N"),"●","")</f>
        <v/>
      </c>
      <c r="I187" s="19">
        <f>IF(AND(ISNUMBER(SEARCH(","&amp;I$1&amp;",",","&amp;SUBSTITUTE(Catalogo!$F187," ","")&amp;",")),Catalogo!$H187&lt;&gt;"N"),"●","")</f>
        <v/>
      </c>
      <c r="J187" s="19">
        <f>IF(AND(ISNUMBER(SEARCH(","&amp;J$1&amp;",",","&amp;SUBSTITUTE(Catalogo!$F187," ","")&amp;",")),Catalogo!$H187&lt;&gt;"N"),"●","")</f>
        <v/>
      </c>
      <c r="K187" s="19">
        <f>IF(AND(ISNUMBER(SEARCH(","&amp;K$1&amp;",",","&amp;SUBSTITUTE(Catalogo!$F187," ","")&amp;",")),Catalogo!$H187&lt;&gt;"N"),"●","")</f>
        <v/>
      </c>
      <c r="L187" s="19">
        <f>IF(AND(ISNUMBER(SEARCH(","&amp;L$1&amp;",",","&amp;SUBSTITUTE(Catalogo!$F187," ","")&amp;",")),Catalogo!$H187&lt;&gt;"N"),"●","")</f>
        <v/>
      </c>
      <c r="M187" s="19">
        <f>IF(AND(ISNUMBER(SEARCH(","&amp;M$1&amp;",",","&amp;SUBSTITUTE(Catalogo!$F187," ","")&amp;",")),Catalogo!$H187&lt;&gt;"N"),"●","")</f>
        <v/>
      </c>
    </row>
    <row r="188">
      <c r="A188" s="17">
        <f>Catalogo!A188</f>
        <v/>
      </c>
      <c r="B188" s="17">
        <f>Catalogo!C188</f>
        <v/>
      </c>
      <c r="C188" s="19">
        <f>IF(Catalogo!H188="","(vazio)",Catalogo!H188)</f>
        <v/>
      </c>
      <c r="D188" s="19">
        <f>IF(AND(ISNUMBER(SEARCH(","&amp;D$1&amp;",",","&amp;SUBSTITUTE(Catalogo!$F188," ","")&amp;",")),Catalogo!$H188&lt;&gt;"N"),"●","")</f>
        <v/>
      </c>
      <c r="E188" s="19">
        <f>IF(AND(ISNUMBER(SEARCH(","&amp;E$1&amp;",",","&amp;SUBSTITUTE(Catalogo!$F188," ","")&amp;",")),Catalogo!$H188&lt;&gt;"N"),"●","")</f>
        <v/>
      </c>
      <c r="F188" s="19">
        <f>IF(AND(ISNUMBER(SEARCH(","&amp;F$1&amp;",",","&amp;SUBSTITUTE(Catalogo!$F188," ","")&amp;",")),Catalogo!$H188&lt;&gt;"N"),"●","")</f>
        <v/>
      </c>
      <c r="G188" s="19">
        <f>IF(AND(ISNUMBER(SEARCH(","&amp;G$1&amp;",",","&amp;SUBSTITUTE(Catalogo!$F188," ","")&amp;",")),Catalogo!$H188&lt;&gt;"N"),"●","")</f>
        <v/>
      </c>
      <c r="H188" s="19">
        <f>IF(AND(ISNUMBER(SEARCH(","&amp;H$1&amp;",",","&amp;SUBSTITUTE(Catalogo!$F188," ","")&amp;",")),Catalogo!$H188&lt;&gt;"N"),"●","")</f>
        <v/>
      </c>
      <c r="I188" s="19">
        <f>IF(AND(ISNUMBER(SEARCH(","&amp;I$1&amp;",",","&amp;SUBSTITUTE(Catalogo!$F188," ","")&amp;",")),Catalogo!$H188&lt;&gt;"N"),"●","")</f>
        <v/>
      </c>
      <c r="J188" s="19">
        <f>IF(AND(ISNUMBER(SEARCH(","&amp;J$1&amp;",",","&amp;SUBSTITUTE(Catalogo!$F188," ","")&amp;",")),Catalogo!$H188&lt;&gt;"N"),"●","")</f>
        <v/>
      </c>
      <c r="K188" s="19">
        <f>IF(AND(ISNUMBER(SEARCH(","&amp;K$1&amp;",",","&amp;SUBSTITUTE(Catalogo!$F188," ","")&amp;",")),Catalogo!$H188&lt;&gt;"N"),"●","")</f>
        <v/>
      </c>
      <c r="L188" s="19">
        <f>IF(AND(ISNUMBER(SEARCH(","&amp;L$1&amp;",",","&amp;SUBSTITUTE(Catalogo!$F188," ","")&amp;",")),Catalogo!$H188&lt;&gt;"N"),"●","")</f>
        <v/>
      </c>
      <c r="M188" s="19">
        <f>IF(AND(ISNUMBER(SEARCH(","&amp;M$1&amp;",",","&amp;SUBSTITUTE(Catalogo!$F188," ","")&amp;",")),Catalogo!$H188&lt;&gt;"N"),"●","")</f>
        <v/>
      </c>
    </row>
    <row r="189">
      <c r="A189" s="17">
        <f>Catalogo!A189</f>
        <v/>
      </c>
      <c r="B189" s="17">
        <f>Catalogo!C189</f>
        <v/>
      </c>
      <c r="C189" s="19">
        <f>IF(Catalogo!H189="","(vazio)",Catalogo!H189)</f>
        <v/>
      </c>
      <c r="D189" s="19">
        <f>IF(AND(ISNUMBER(SEARCH(","&amp;D$1&amp;",",","&amp;SUBSTITUTE(Catalogo!$F189," ","")&amp;",")),Catalogo!$H189&lt;&gt;"N"),"●","")</f>
        <v/>
      </c>
      <c r="E189" s="19">
        <f>IF(AND(ISNUMBER(SEARCH(","&amp;E$1&amp;",",","&amp;SUBSTITUTE(Catalogo!$F189," ","")&amp;",")),Catalogo!$H189&lt;&gt;"N"),"●","")</f>
        <v/>
      </c>
      <c r="F189" s="19">
        <f>IF(AND(ISNUMBER(SEARCH(","&amp;F$1&amp;",",","&amp;SUBSTITUTE(Catalogo!$F189," ","")&amp;",")),Catalogo!$H189&lt;&gt;"N"),"●","")</f>
        <v/>
      </c>
      <c r="G189" s="19">
        <f>IF(AND(ISNUMBER(SEARCH(","&amp;G$1&amp;",",","&amp;SUBSTITUTE(Catalogo!$F189," ","")&amp;",")),Catalogo!$H189&lt;&gt;"N"),"●","")</f>
        <v/>
      </c>
      <c r="H189" s="19">
        <f>IF(AND(ISNUMBER(SEARCH(","&amp;H$1&amp;",",","&amp;SUBSTITUTE(Catalogo!$F189," ","")&amp;",")),Catalogo!$H189&lt;&gt;"N"),"●","")</f>
        <v/>
      </c>
      <c r="I189" s="19">
        <f>IF(AND(ISNUMBER(SEARCH(","&amp;I$1&amp;",",","&amp;SUBSTITUTE(Catalogo!$F189," ","")&amp;",")),Catalogo!$H189&lt;&gt;"N"),"●","")</f>
        <v/>
      </c>
      <c r="J189" s="19">
        <f>IF(AND(ISNUMBER(SEARCH(","&amp;J$1&amp;",",","&amp;SUBSTITUTE(Catalogo!$F189," ","")&amp;",")),Catalogo!$H189&lt;&gt;"N"),"●","")</f>
        <v/>
      </c>
      <c r="K189" s="19">
        <f>IF(AND(ISNUMBER(SEARCH(","&amp;K$1&amp;",",","&amp;SUBSTITUTE(Catalogo!$F189," ","")&amp;",")),Catalogo!$H189&lt;&gt;"N"),"●","")</f>
        <v/>
      </c>
      <c r="L189" s="19">
        <f>IF(AND(ISNUMBER(SEARCH(","&amp;L$1&amp;",",","&amp;SUBSTITUTE(Catalogo!$F189," ","")&amp;",")),Catalogo!$H189&lt;&gt;"N"),"●","")</f>
        <v/>
      </c>
      <c r="M189" s="19">
        <f>IF(AND(ISNUMBER(SEARCH(","&amp;M$1&amp;",",","&amp;SUBSTITUTE(Catalogo!$F189," ","")&amp;",")),Catalogo!$H189&lt;&gt;"N"),"●","")</f>
        <v/>
      </c>
    </row>
    <row r="190">
      <c r="A190" s="17">
        <f>Catalogo!A190</f>
        <v/>
      </c>
      <c r="B190" s="17">
        <f>Catalogo!C190</f>
        <v/>
      </c>
      <c r="C190" s="19">
        <f>IF(Catalogo!H190="","(vazio)",Catalogo!H190)</f>
        <v/>
      </c>
      <c r="D190" s="19">
        <f>IF(AND(ISNUMBER(SEARCH(","&amp;D$1&amp;",",","&amp;SUBSTITUTE(Catalogo!$F190," ","")&amp;",")),Catalogo!$H190&lt;&gt;"N"),"●","")</f>
        <v/>
      </c>
      <c r="E190" s="19">
        <f>IF(AND(ISNUMBER(SEARCH(","&amp;E$1&amp;",",","&amp;SUBSTITUTE(Catalogo!$F190," ","")&amp;",")),Catalogo!$H190&lt;&gt;"N"),"●","")</f>
        <v/>
      </c>
      <c r="F190" s="19">
        <f>IF(AND(ISNUMBER(SEARCH(","&amp;F$1&amp;",",","&amp;SUBSTITUTE(Catalogo!$F190," ","")&amp;",")),Catalogo!$H190&lt;&gt;"N"),"●","")</f>
        <v/>
      </c>
      <c r="G190" s="19">
        <f>IF(AND(ISNUMBER(SEARCH(","&amp;G$1&amp;",",","&amp;SUBSTITUTE(Catalogo!$F190," ","")&amp;",")),Catalogo!$H190&lt;&gt;"N"),"●","")</f>
        <v/>
      </c>
      <c r="H190" s="19">
        <f>IF(AND(ISNUMBER(SEARCH(","&amp;H$1&amp;",",","&amp;SUBSTITUTE(Catalogo!$F190," ","")&amp;",")),Catalogo!$H190&lt;&gt;"N"),"●","")</f>
        <v/>
      </c>
      <c r="I190" s="19">
        <f>IF(AND(ISNUMBER(SEARCH(","&amp;I$1&amp;",",","&amp;SUBSTITUTE(Catalogo!$F190," ","")&amp;",")),Catalogo!$H190&lt;&gt;"N"),"●","")</f>
        <v/>
      </c>
      <c r="J190" s="19">
        <f>IF(AND(ISNUMBER(SEARCH(","&amp;J$1&amp;",",","&amp;SUBSTITUTE(Catalogo!$F190," ","")&amp;",")),Catalogo!$H190&lt;&gt;"N"),"●","")</f>
        <v/>
      </c>
      <c r="K190" s="19">
        <f>IF(AND(ISNUMBER(SEARCH(","&amp;K$1&amp;",",","&amp;SUBSTITUTE(Catalogo!$F190," ","")&amp;",")),Catalogo!$H190&lt;&gt;"N"),"●","")</f>
        <v/>
      </c>
      <c r="L190" s="19">
        <f>IF(AND(ISNUMBER(SEARCH(","&amp;L$1&amp;",",","&amp;SUBSTITUTE(Catalogo!$F190," ","")&amp;",")),Catalogo!$H190&lt;&gt;"N"),"●","")</f>
        <v/>
      </c>
      <c r="M190" s="19">
        <f>IF(AND(ISNUMBER(SEARCH(","&amp;M$1&amp;",",","&amp;SUBSTITUTE(Catalogo!$F190," ","")&amp;",")),Catalogo!$H190&lt;&gt;"N"),"●","")</f>
        <v/>
      </c>
    </row>
    <row r="191">
      <c r="A191" s="17">
        <f>Catalogo!A191</f>
        <v/>
      </c>
      <c r="B191" s="17">
        <f>Catalogo!C191</f>
        <v/>
      </c>
      <c r="C191" s="19">
        <f>IF(Catalogo!H191="","(vazio)",Catalogo!H191)</f>
        <v/>
      </c>
      <c r="D191" s="19">
        <f>IF(AND(ISNUMBER(SEARCH(","&amp;D$1&amp;",",","&amp;SUBSTITUTE(Catalogo!$F191," ","")&amp;",")),Catalogo!$H191&lt;&gt;"N"),"●","")</f>
        <v/>
      </c>
      <c r="E191" s="19">
        <f>IF(AND(ISNUMBER(SEARCH(","&amp;E$1&amp;",",","&amp;SUBSTITUTE(Catalogo!$F191," ","")&amp;",")),Catalogo!$H191&lt;&gt;"N"),"●","")</f>
        <v/>
      </c>
      <c r="F191" s="19">
        <f>IF(AND(ISNUMBER(SEARCH(","&amp;F$1&amp;",",","&amp;SUBSTITUTE(Catalogo!$F191," ","")&amp;",")),Catalogo!$H191&lt;&gt;"N"),"●","")</f>
        <v/>
      </c>
      <c r="G191" s="19">
        <f>IF(AND(ISNUMBER(SEARCH(","&amp;G$1&amp;",",","&amp;SUBSTITUTE(Catalogo!$F191," ","")&amp;",")),Catalogo!$H191&lt;&gt;"N"),"●","")</f>
        <v/>
      </c>
      <c r="H191" s="19">
        <f>IF(AND(ISNUMBER(SEARCH(","&amp;H$1&amp;",",","&amp;SUBSTITUTE(Catalogo!$F191," ","")&amp;",")),Catalogo!$H191&lt;&gt;"N"),"●","")</f>
        <v/>
      </c>
      <c r="I191" s="19">
        <f>IF(AND(ISNUMBER(SEARCH(","&amp;I$1&amp;",",","&amp;SUBSTITUTE(Catalogo!$F191," ","")&amp;",")),Catalogo!$H191&lt;&gt;"N"),"●","")</f>
        <v/>
      </c>
      <c r="J191" s="19">
        <f>IF(AND(ISNUMBER(SEARCH(","&amp;J$1&amp;",",","&amp;SUBSTITUTE(Catalogo!$F191," ","")&amp;",")),Catalogo!$H191&lt;&gt;"N"),"●","")</f>
        <v/>
      </c>
      <c r="K191" s="19">
        <f>IF(AND(ISNUMBER(SEARCH(","&amp;K$1&amp;",",","&amp;SUBSTITUTE(Catalogo!$F191," ","")&amp;",")),Catalogo!$H191&lt;&gt;"N"),"●","")</f>
        <v/>
      </c>
      <c r="L191" s="19">
        <f>IF(AND(ISNUMBER(SEARCH(","&amp;L$1&amp;",",","&amp;SUBSTITUTE(Catalogo!$F191," ","")&amp;",")),Catalogo!$H191&lt;&gt;"N"),"●","")</f>
        <v/>
      </c>
      <c r="M191" s="19">
        <f>IF(AND(ISNUMBER(SEARCH(","&amp;M$1&amp;",",","&amp;SUBSTITUTE(Catalogo!$F191," ","")&amp;",")),Catalogo!$H191&lt;&gt;"N"),"●","")</f>
        <v/>
      </c>
    </row>
    <row r="192">
      <c r="A192" s="17">
        <f>Catalogo!A192</f>
        <v/>
      </c>
      <c r="B192" s="17">
        <f>Catalogo!C192</f>
        <v/>
      </c>
      <c r="C192" s="19">
        <f>IF(Catalogo!H192="","(vazio)",Catalogo!H192)</f>
        <v/>
      </c>
      <c r="D192" s="19">
        <f>IF(AND(ISNUMBER(SEARCH(","&amp;D$1&amp;",",","&amp;SUBSTITUTE(Catalogo!$F192," ","")&amp;",")),Catalogo!$H192&lt;&gt;"N"),"●","")</f>
        <v/>
      </c>
      <c r="E192" s="19">
        <f>IF(AND(ISNUMBER(SEARCH(","&amp;E$1&amp;",",","&amp;SUBSTITUTE(Catalogo!$F192," ","")&amp;",")),Catalogo!$H192&lt;&gt;"N"),"●","")</f>
        <v/>
      </c>
      <c r="F192" s="19">
        <f>IF(AND(ISNUMBER(SEARCH(","&amp;F$1&amp;",",","&amp;SUBSTITUTE(Catalogo!$F192," ","")&amp;",")),Catalogo!$H192&lt;&gt;"N"),"●","")</f>
        <v/>
      </c>
      <c r="G192" s="19">
        <f>IF(AND(ISNUMBER(SEARCH(","&amp;G$1&amp;",",","&amp;SUBSTITUTE(Catalogo!$F192," ","")&amp;",")),Catalogo!$H192&lt;&gt;"N"),"●","")</f>
        <v/>
      </c>
      <c r="H192" s="19">
        <f>IF(AND(ISNUMBER(SEARCH(","&amp;H$1&amp;",",","&amp;SUBSTITUTE(Catalogo!$F192," ","")&amp;",")),Catalogo!$H192&lt;&gt;"N"),"●","")</f>
        <v/>
      </c>
      <c r="I192" s="19">
        <f>IF(AND(ISNUMBER(SEARCH(","&amp;I$1&amp;",",","&amp;SUBSTITUTE(Catalogo!$F192," ","")&amp;",")),Catalogo!$H192&lt;&gt;"N"),"●","")</f>
        <v/>
      </c>
      <c r="J192" s="19">
        <f>IF(AND(ISNUMBER(SEARCH(","&amp;J$1&amp;",",","&amp;SUBSTITUTE(Catalogo!$F192," ","")&amp;",")),Catalogo!$H192&lt;&gt;"N"),"●","")</f>
        <v/>
      </c>
      <c r="K192" s="19">
        <f>IF(AND(ISNUMBER(SEARCH(","&amp;K$1&amp;",",","&amp;SUBSTITUTE(Catalogo!$F192," ","")&amp;",")),Catalogo!$H192&lt;&gt;"N"),"●","")</f>
        <v/>
      </c>
      <c r="L192" s="19">
        <f>IF(AND(ISNUMBER(SEARCH(","&amp;L$1&amp;",",","&amp;SUBSTITUTE(Catalogo!$F192," ","")&amp;",")),Catalogo!$H192&lt;&gt;"N"),"●","")</f>
        <v/>
      </c>
      <c r="M192" s="19">
        <f>IF(AND(ISNUMBER(SEARCH(","&amp;M$1&amp;",",","&amp;SUBSTITUTE(Catalogo!$F192," ","")&amp;",")),Catalogo!$H192&lt;&gt;"N"),"●","")</f>
        <v/>
      </c>
    </row>
    <row r="193">
      <c r="A193" s="17">
        <f>Catalogo!A193</f>
        <v/>
      </c>
      <c r="B193" s="17">
        <f>Catalogo!C193</f>
        <v/>
      </c>
      <c r="C193" s="19">
        <f>IF(Catalogo!H193="","(vazio)",Catalogo!H193)</f>
        <v/>
      </c>
      <c r="D193" s="19">
        <f>IF(AND(ISNUMBER(SEARCH(","&amp;D$1&amp;",",","&amp;SUBSTITUTE(Catalogo!$F193," ","")&amp;",")),Catalogo!$H193&lt;&gt;"N"),"●","")</f>
        <v/>
      </c>
      <c r="E193" s="19">
        <f>IF(AND(ISNUMBER(SEARCH(","&amp;E$1&amp;",",","&amp;SUBSTITUTE(Catalogo!$F193," ","")&amp;",")),Catalogo!$H193&lt;&gt;"N"),"●","")</f>
        <v/>
      </c>
      <c r="F193" s="19">
        <f>IF(AND(ISNUMBER(SEARCH(","&amp;F$1&amp;",",","&amp;SUBSTITUTE(Catalogo!$F193," ","")&amp;",")),Catalogo!$H193&lt;&gt;"N"),"●","")</f>
        <v/>
      </c>
      <c r="G193" s="19">
        <f>IF(AND(ISNUMBER(SEARCH(","&amp;G$1&amp;",",","&amp;SUBSTITUTE(Catalogo!$F193," ","")&amp;",")),Catalogo!$H193&lt;&gt;"N"),"●","")</f>
        <v/>
      </c>
      <c r="H193" s="19">
        <f>IF(AND(ISNUMBER(SEARCH(","&amp;H$1&amp;",",","&amp;SUBSTITUTE(Catalogo!$F193," ","")&amp;",")),Catalogo!$H193&lt;&gt;"N"),"●","")</f>
        <v/>
      </c>
      <c r="I193" s="19">
        <f>IF(AND(ISNUMBER(SEARCH(","&amp;I$1&amp;",",","&amp;SUBSTITUTE(Catalogo!$F193," ","")&amp;",")),Catalogo!$H193&lt;&gt;"N"),"●","")</f>
        <v/>
      </c>
      <c r="J193" s="19">
        <f>IF(AND(ISNUMBER(SEARCH(","&amp;J$1&amp;",",","&amp;SUBSTITUTE(Catalogo!$F193," ","")&amp;",")),Catalogo!$H193&lt;&gt;"N"),"●","")</f>
        <v/>
      </c>
      <c r="K193" s="19">
        <f>IF(AND(ISNUMBER(SEARCH(","&amp;K$1&amp;",",","&amp;SUBSTITUTE(Catalogo!$F193," ","")&amp;",")),Catalogo!$H193&lt;&gt;"N"),"●","")</f>
        <v/>
      </c>
      <c r="L193" s="19">
        <f>IF(AND(ISNUMBER(SEARCH(","&amp;L$1&amp;",",","&amp;SUBSTITUTE(Catalogo!$F193," ","")&amp;",")),Catalogo!$H193&lt;&gt;"N"),"●","")</f>
        <v/>
      </c>
      <c r="M193" s="19">
        <f>IF(AND(ISNUMBER(SEARCH(","&amp;M$1&amp;",",","&amp;SUBSTITUTE(Catalogo!$F193," ","")&amp;",")),Catalogo!$H193&lt;&gt;"N"),"●","")</f>
        <v/>
      </c>
    </row>
    <row r="194">
      <c r="A194" s="17">
        <f>Catalogo!A194</f>
        <v/>
      </c>
      <c r="B194" s="17">
        <f>Catalogo!C194</f>
        <v/>
      </c>
      <c r="C194" s="19">
        <f>IF(Catalogo!H194="","(vazio)",Catalogo!H194)</f>
        <v/>
      </c>
      <c r="D194" s="19">
        <f>IF(AND(ISNUMBER(SEARCH(","&amp;D$1&amp;",",","&amp;SUBSTITUTE(Catalogo!$F194," ","")&amp;",")),Catalogo!$H194&lt;&gt;"N"),"●","")</f>
        <v/>
      </c>
      <c r="E194" s="19">
        <f>IF(AND(ISNUMBER(SEARCH(","&amp;E$1&amp;",",","&amp;SUBSTITUTE(Catalogo!$F194," ","")&amp;",")),Catalogo!$H194&lt;&gt;"N"),"●","")</f>
        <v/>
      </c>
      <c r="F194" s="19">
        <f>IF(AND(ISNUMBER(SEARCH(","&amp;F$1&amp;",",","&amp;SUBSTITUTE(Catalogo!$F194," ","")&amp;",")),Catalogo!$H194&lt;&gt;"N"),"●","")</f>
        <v/>
      </c>
      <c r="G194" s="19">
        <f>IF(AND(ISNUMBER(SEARCH(","&amp;G$1&amp;",",","&amp;SUBSTITUTE(Catalogo!$F194," ","")&amp;",")),Catalogo!$H194&lt;&gt;"N"),"●","")</f>
        <v/>
      </c>
      <c r="H194" s="19">
        <f>IF(AND(ISNUMBER(SEARCH(","&amp;H$1&amp;",",","&amp;SUBSTITUTE(Catalogo!$F194," ","")&amp;",")),Catalogo!$H194&lt;&gt;"N"),"●","")</f>
        <v/>
      </c>
      <c r="I194" s="19">
        <f>IF(AND(ISNUMBER(SEARCH(","&amp;I$1&amp;",",","&amp;SUBSTITUTE(Catalogo!$F194," ","")&amp;",")),Catalogo!$H194&lt;&gt;"N"),"●","")</f>
        <v/>
      </c>
      <c r="J194" s="19">
        <f>IF(AND(ISNUMBER(SEARCH(","&amp;J$1&amp;",",","&amp;SUBSTITUTE(Catalogo!$F194," ","")&amp;",")),Catalogo!$H194&lt;&gt;"N"),"●","")</f>
        <v/>
      </c>
      <c r="K194" s="19">
        <f>IF(AND(ISNUMBER(SEARCH(","&amp;K$1&amp;",",","&amp;SUBSTITUTE(Catalogo!$F194," ","")&amp;",")),Catalogo!$H194&lt;&gt;"N"),"●","")</f>
        <v/>
      </c>
      <c r="L194" s="19">
        <f>IF(AND(ISNUMBER(SEARCH(","&amp;L$1&amp;",",","&amp;SUBSTITUTE(Catalogo!$F194," ","")&amp;",")),Catalogo!$H194&lt;&gt;"N"),"●","")</f>
        <v/>
      </c>
      <c r="M194" s="19">
        <f>IF(AND(ISNUMBER(SEARCH(","&amp;M$1&amp;",",","&amp;SUBSTITUTE(Catalogo!$F194," ","")&amp;",")),Catalogo!$H194&lt;&gt;"N"),"●","")</f>
        <v/>
      </c>
    </row>
    <row r="195">
      <c r="A195" s="17">
        <f>Catalogo!A195</f>
        <v/>
      </c>
      <c r="B195" s="17">
        <f>Catalogo!C195</f>
        <v/>
      </c>
      <c r="C195" s="19">
        <f>IF(Catalogo!H195="","(vazio)",Catalogo!H195)</f>
        <v/>
      </c>
      <c r="D195" s="19">
        <f>IF(AND(ISNUMBER(SEARCH(","&amp;D$1&amp;",",","&amp;SUBSTITUTE(Catalogo!$F195," ","")&amp;",")),Catalogo!$H195&lt;&gt;"N"),"●","")</f>
        <v/>
      </c>
      <c r="E195" s="19">
        <f>IF(AND(ISNUMBER(SEARCH(","&amp;E$1&amp;",",","&amp;SUBSTITUTE(Catalogo!$F195," ","")&amp;",")),Catalogo!$H195&lt;&gt;"N"),"●","")</f>
        <v/>
      </c>
      <c r="F195" s="19">
        <f>IF(AND(ISNUMBER(SEARCH(","&amp;F$1&amp;",",","&amp;SUBSTITUTE(Catalogo!$F195," ","")&amp;",")),Catalogo!$H195&lt;&gt;"N"),"●","")</f>
        <v/>
      </c>
      <c r="G195" s="19">
        <f>IF(AND(ISNUMBER(SEARCH(","&amp;G$1&amp;",",","&amp;SUBSTITUTE(Catalogo!$F195," ","")&amp;",")),Catalogo!$H195&lt;&gt;"N"),"●","")</f>
        <v/>
      </c>
      <c r="H195" s="19">
        <f>IF(AND(ISNUMBER(SEARCH(","&amp;H$1&amp;",",","&amp;SUBSTITUTE(Catalogo!$F195," ","")&amp;",")),Catalogo!$H195&lt;&gt;"N"),"●","")</f>
        <v/>
      </c>
      <c r="I195" s="19">
        <f>IF(AND(ISNUMBER(SEARCH(","&amp;I$1&amp;",",","&amp;SUBSTITUTE(Catalogo!$F195," ","")&amp;",")),Catalogo!$H195&lt;&gt;"N"),"●","")</f>
        <v/>
      </c>
      <c r="J195" s="19">
        <f>IF(AND(ISNUMBER(SEARCH(","&amp;J$1&amp;",",","&amp;SUBSTITUTE(Catalogo!$F195," ","")&amp;",")),Catalogo!$H195&lt;&gt;"N"),"●","")</f>
        <v/>
      </c>
      <c r="K195" s="19">
        <f>IF(AND(ISNUMBER(SEARCH(","&amp;K$1&amp;",",","&amp;SUBSTITUTE(Catalogo!$F195," ","")&amp;",")),Catalogo!$H195&lt;&gt;"N"),"●","")</f>
        <v/>
      </c>
      <c r="L195" s="19">
        <f>IF(AND(ISNUMBER(SEARCH(","&amp;L$1&amp;",",","&amp;SUBSTITUTE(Catalogo!$F195," ","")&amp;",")),Catalogo!$H195&lt;&gt;"N"),"●","")</f>
        <v/>
      </c>
      <c r="M195" s="19">
        <f>IF(AND(ISNUMBER(SEARCH(","&amp;M$1&amp;",",","&amp;SUBSTITUTE(Catalogo!$F195," ","")&amp;",")),Catalogo!$H195&lt;&gt;"N"),"●","")</f>
        <v/>
      </c>
    </row>
    <row r="196">
      <c r="A196" s="17">
        <f>Catalogo!A196</f>
        <v/>
      </c>
      <c r="B196" s="17">
        <f>Catalogo!C196</f>
        <v/>
      </c>
      <c r="C196" s="19">
        <f>IF(Catalogo!H196="","(vazio)",Catalogo!H196)</f>
        <v/>
      </c>
      <c r="D196" s="19">
        <f>IF(AND(ISNUMBER(SEARCH(","&amp;D$1&amp;",",","&amp;SUBSTITUTE(Catalogo!$F196," ","")&amp;",")),Catalogo!$H196&lt;&gt;"N"),"●","")</f>
        <v/>
      </c>
      <c r="E196" s="19">
        <f>IF(AND(ISNUMBER(SEARCH(","&amp;E$1&amp;",",","&amp;SUBSTITUTE(Catalogo!$F196," ","")&amp;",")),Catalogo!$H196&lt;&gt;"N"),"●","")</f>
        <v/>
      </c>
      <c r="F196" s="19">
        <f>IF(AND(ISNUMBER(SEARCH(","&amp;F$1&amp;",",","&amp;SUBSTITUTE(Catalogo!$F196," ","")&amp;",")),Catalogo!$H196&lt;&gt;"N"),"●","")</f>
        <v/>
      </c>
      <c r="G196" s="19">
        <f>IF(AND(ISNUMBER(SEARCH(","&amp;G$1&amp;",",","&amp;SUBSTITUTE(Catalogo!$F196," ","")&amp;",")),Catalogo!$H196&lt;&gt;"N"),"●","")</f>
        <v/>
      </c>
      <c r="H196" s="19">
        <f>IF(AND(ISNUMBER(SEARCH(","&amp;H$1&amp;",",","&amp;SUBSTITUTE(Catalogo!$F196," ","")&amp;",")),Catalogo!$H196&lt;&gt;"N"),"●","")</f>
        <v/>
      </c>
      <c r="I196" s="19">
        <f>IF(AND(ISNUMBER(SEARCH(","&amp;I$1&amp;",",","&amp;SUBSTITUTE(Catalogo!$F196," ","")&amp;",")),Catalogo!$H196&lt;&gt;"N"),"●","")</f>
        <v/>
      </c>
      <c r="J196" s="19">
        <f>IF(AND(ISNUMBER(SEARCH(","&amp;J$1&amp;",",","&amp;SUBSTITUTE(Catalogo!$F196," ","")&amp;",")),Catalogo!$H196&lt;&gt;"N"),"●","")</f>
        <v/>
      </c>
      <c r="K196" s="19">
        <f>IF(AND(ISNUMBER(SEARCH(","&amp;K$1&amp;",",","&amp;SUBSTITUTE(Catalogo!$F196," ","")&amp;",")),Catalogo!$H196&lt;&gt;"N"),"●","")</f>
        <v/>
      </c>
      <c r="L196" s="19">
        <f>IF(AND(ISNUMBER(SEARCH(","&amp;L$1&amp;",",","&amp;SUBSTITUTE(Catalogo!$F196," ","")&amp;",")),Catalogo!$H196&lt;&gt;"N"),"●","")</f>
        <v/>
      </c>
      <c r="M196" s="19">
        <f>IF(AND(ISNUMBER(SEARCH(","&amp;M$1&amp;",",","&amp;SUBSTITUTE(Catalogo!$F196," ","")&amp;",")),Catalogo!$H196&lt;&gt;"N"),"●","")</f>
        <v/>
      </c>
    </row>
    <row r="198">
      <c r="B198" s="4" t="inlineStr">
        <is>
          <t>Total de itens aplicáveis por cenário:</t>
        </is>
      </c>
      <c r="D198" s="20">
        <f>COUNTIF(D2:D196,"●")</f>
        <v/>
      </c>
      <c r="E198" s="20">
        <f>COUNTIF(E2:E196,"●")</f>
        <v/>
      </c>
      <c r="F198" s="20">
        <f>COUNTIF(F2:F196,"●")</f>
        <v/>
      </c>
      <c r="G198" s="20">
        <f>COUNTIF(G2:G196,"●")</f>
        <v/>
      </c>
      <c r="H198" s="20">
        <f>COUNTIF(H2:H196,"●")</f>
        <v/>
      </c>
      <c r="I198" s="20">
        <f>COUNTIF(I2:I196,"●")</f>
        <v/>
      </c>
      <c r="J198" s="20">
        <f>COUNTIF(J2:J196,"●")</f>
        <v/>
      </c>
      <c r="K198" s="20">
        <f>COUNTIF(K2:K196,"●")</f>
        <v/>
      </c>
      <c r="L198" s="20">
        <f>COUNTIF(L2:L196,"●")</f>
        <v/>
      </c>
      <c r="M198" s="20">
        <f>COUNTIF(M2:M196,"●")</f>
        <v/>
      </c>
    </row>
    <row r="199" ht="42" customHeight="1">
      <c r="B199" s="6" t="inlineStr">
        <is>
          <t>● = o item entra no cenário e NÃO foi marcado N. Item em branco ou '?' entra (pior caso). Cenários: 1 contaminação cruzada, 2 falta de água, 3 água fora do padrão, 4 vazamento/alagamento, 5 falha de bomba/energia, 6 incêndio, 7 refluxo de esgoto, 8 tratamento químico, 9 contaminação do reservatório, T comunicação de crise.</t>
        </is>
      </c>
    </row>
  </sheetData>
  <autoFilter ref="A1:M196"/>
  <mergeCells count="1">
    <mergeCell ref="B199:M199"/>
  </mergeCells>
  <conditionalFormatting sqref="D2:D196">
    <cfRule type="expression" priority="1" dxfId="4">
      <formula>D2="●"</formula>
    </cfRule>
  </conditionalFormatting>
  <conditionalFormatting sqref="E2:E196">
    <cfRule type="expression" priority="2" dxfId="4">
      <formula>E2="●"</formula>
    </cfRule>
  </conditionalFormatting>
  <conditionalFormatting sqref="F2:F196">
    <cfRule type="expression" priority="3" dxfId="4">
      <formula>F2="●"</formula>
    </cfRule>
  </conditionalFormatting>
  <conditionalFormatting sqref="G2:G196">
    <cfRule type="expression" priority="4" dxfId="4">
      <formula>G2="●"</formula>
    </cfRule>
  </conditionalFormatting>
  <conditionalFormatting sqref="H2:H196">
    <cfRule type="expression" priority="5" dxfId="4">
      <formula>H2="●"</formula>
    </cfRule>
  </conditionalFormatting>
  <conditionalFormatting sqref="I2:I196">
    <cfRule type="expression" priority="6" dxfId="4">
      <formula>I2="●"</formula>
    </cfRule>
  </conditionalFormatting>
  <conditionalFormatting sqref="J2:J196">
    <cfRule type="expression" priority="7" dxfId="4">
      <formula>J2="●"</formula>
    </cfRule>
  </conditionalFormatting>
  <conditionalFormatting sqref="K2:K196">
    <cfRule type="expression" priority="8" dxfId="4">
      <formula>K2="●"</formula>
    </cfRule>
  </conditionalFormatting>
  <conditionalFormatting sqref="L2:L196">
    <cfRule type="expression" priority="9" dxfId="4">
      <formula>L2="●"</formula>
    </cfRule>
  </conditionalFormatting>
  <conditionalFormatting sqref="M2:M196">
    <cfRule type="expression" priority="10" dxfId="4">
      <formula>M2="●"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2A44"/>
    <outlinePr summaryBelow="1" summaryRight="1"/>
    <pageSetUpPr/>
  </sheetPr>
  <dimension ref="A1:M19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4" customWidth="1" min="3" max="3"/>
    <col width="46" customWidth="1" min="4" max="4"/>
    <col width="34" customWidth="1" min="5" max="5"/>
    <col width="12" customWidth="1" min="6" max="6"/>
    <col width="24" customWidth="1" min="7" max="7"/>
    <col width="12" customWidth="1" min="8" max="8"/>
    <col width="14" customWidth="1" min="9" max="9"/>
    <col width="14" customWidth="1" min="10" max="10"/>
    <col width="14" customWidth="1" min="11" max="11"/>
    <col width="28" customWidth="1" min="12" max="12"/>
    <col width="26" customWidth="1" min="13" max="13"/>
  </cols>
  <sheetData>
    <row r="1" ht="32" customHeight="1">
      <c r="A1" s="15" t="inlineStr">
        <is>
          <t>Nº</t>
        </is>
      </c>
      <c r="B1" s="15" t="inlineStr">
        <is>
          <t>Família</t>
        </is>
      </c>
      <c r="C1" s="15" t="inlineStr">
        <is>
          <t>IDs (catálogo)</t>
        </is>
      </c>
      <c r="D1" s="15" t="inlineStr">
        <is>
          <t>O que se mantém</t>
        </is>
      </c>
      <c r="E1" s="15" t="inlineStr">
        <is>
          <t>Cadência de referência (catálogo)</t>
        </is>
      </c>
      <c r="F1" s="15" t="inlineStr">
        <is>
          <t>Itens aplicáveis na ficha</t>
        </is>
      </c>
      <c r="G1" s="15" t="inlineStr">
        <is>
          <t>Responsável (fornecedor)</t>
        </is>
      </c>
      <c r="H1" s="15" t="inlineStr">
        <is>
          <t>Periodicidade (dias)</t>
        </is>
      </c>
      <c r="I1" s="15" t="inlineStr">
        <is>
          <t>Última execução</t>
        </is>
      </c>
      <c r="J1" s="15" t="inlineStr">
        <is>
          <t>Próxima</t>
        </is>
      </c>
      <c r="K1" s="15" t="inlineStr">
        <is>
          <t>Status</t>
        </is>
      </c>
      <c r="L1" s="15" t="inlineStr">
        <is>
          <t>Evidência (documento / OS)</t>
        </is>
      </c>
      <c r="M1" s="15" t="inlineStr">
        <is>
          <t>Observação</t>
        </is>
      </c>
    </row>
    <row r="2">
      <c r="A2" s="19" t="n">
        <v>1</v>
      </c>
      <c r="B2" s="17" t="inlineStr">
        <is>
          <t>Reservatórios e armazenamento de potável</t>
        </is>
      </c>
      <c r="C2" s="17" t="inlineStr">
        <is>
          <t>A4, A6, A17, A18, A22, A23</t>
        </is>
      </c>
      <c r="D2" s="17" t="inlineStr">
        <is>
          <t>Limpeza e desinfecção, inspeção de tampa, vedação, ladrão, respiro, tela, boias e sensores; ensaio de estanqueidade</t>
        </is>
      </c>
      <c r="E2" s="17" t="inlineStr">
        <is>
          <t>Nível: semanal (pedido). Limpeza: periodicidade a definir (ver RDC 216 para restaurantes, ◻)</t>
        </is>
      </c>
      <c r="F2" s="19">
        <f>COUNTIFS(Catalogo!$O$2:$O$196,A2,Catalogo!$H$2:$H$196,"&lt;&gt;N")</f>
        <v/>
      </c>
      <c r="G2" s="13" t="n"/>
      <c r="H2" s="18" t="n"/>
      <c r="I2" s="21" t="n"/>
      <c r="J2" s="22">
        <f>IF(OR(H2="",I2=""),"",I2+H2)</f>
        <v/>
      </c>
      <c r="K2" s="19">
        <f>IF(F2=0,"Sem itens",IF(OR(H2="",I2=""),"Sem registro",IF(TODAY()&gt;J2,"VENCIDO","Em dia")))</f>
        <v/>
      </c>
      <c r="L2" s="13" t="n"/>
      <c r="M2" s="13" t="n"/>
    </row>
    <row r="3">
      <c r="A3" s="19" t="n">
        <v>2</v>
      </c>
      <c r="B3" s="17" t="inlineStr">
        <is>
          <t>Bombas e pressurização</t>
        </is>
      </c>
      <c r="C3" s="17" t="inlineStr">
        <is>
          <t>A5, A8, A19, A20, A21</t>
        </is>
      </c>
      <c r="D3" s="17" t="inlineStr">
        <is>
          <t>Revezamento de bombas, vedação, rolamento, quadro, inversor, vaso hidropneumático, VRP, válvulas de alívio</t>
        </is>
      </c>
      <c r="E3" s="17" t="inlineStr">
        <is>
          <t>Teste de revezamento: a definir</t>
        </is>
      </c>
      <c r="F3" s="19">
        <f>COUNTIFS(Catalogo!$O$2:$O$196,A3,Catalogo!$H$2:$H$196,"&lt;&gt;N")</f>
        <v/>
      </c>
      <c r="G3" s="13" t="n"/>
      <c r="H3" s="18" t="n"/>
      <c r="I3" s="21" t="n"/>
      <c r="J3" s="22">
        <f>IF(OR(H3="",I3=""),"",I3+H3)</f>
        <v/>
      </c>
      <c r="K3" s="19">
        <f>IF(F3=0,"Sem itens",IF(OR(H3="",I3=""),"Sem registro",IF(TODAY()&gt;J3,"VENCIDO","Em dia")))</f>
        <v/>
      </c>
      <c r="L3" s="13" t="n"/>
      <c r="M3" s="13" t="n"/>
    </row>
    <row r="4">
      <c r="A4" s="19" t="n">
        <v>3</v>
      </c>
      <c r="B4" s="17" t="inlineStr">
        <is>
          <t>Rede e pontos de consumo</t>
        </is>
      </c>
      <c r="C4" s="17" t="inlineStr">
        <is>
          <t>A1, A7, A9, A10, A15, A16, A32, A33, A34, A35, A40, A41, A42, A43, G10, G11</t>
        </is>
      </c>
      <c r="D4" s="17" t="inlineStr">
        <is>
          <t>Descarga de pontos pouco usados, manutenção de torneiras e válvulas, hidrômetros, registros, pontos de mangueira, ramais de locatário</t>
        </is>
      </c>
      <c r="E4" s="17" t="inlineStr">
        <is>
          <t>Torneira sentinela: ronda (pedido)</t>
        </is>
      </c>
      <c r="F4" s="19">
        <f>COUNTIFS(Catalogo!$O$2:$O$196,A4,Catalogo!$H$2:$H$196,"&lt;&gt;N")</f>
        <v/>
      </c>
      <c r="G4" s="13" t="n"/>
      <c r="H4" s="18" t="n"/>
      <c r="I4" s="21" t="n"/>
      <c r="J4" s="22">
        <f>IF(OR(H4="",I4=""),"",I4+H4)</f>
        <v/>
      </c>
      <c r="K4" s="19">
        <f>IF(F4=0,"Sem itens",IF(OR(H4="",I4=""),"Sem registro",IF(TODAY()&gt;J4,"VENCIDO","Em dia")))</f>
        <v/>
      </c>
      <c r="L4" s="13" t="n"/>
      <c r="M4" s="13" t="n"/>
    </row>
    <row r="5">
      <c r="A5" s="19" t="n">
        <v>4</v>
      </c>
      <c r="B5" s="17" t="inlineStr">
        <is>
          <t>Tratamento de potável e qualidade</t>
        </is>
      </c>
      <c r="C5" s="17" t="inlineStr">
        <is>
          <t>A2, A3, A11, A14, A36, A37, A38, A39</t>
        </is>
      </c>
      <c r="D5" s="17" t="inlineStr">
        <is>
          <t>Dosagem, residual, troca de filtro e lâmpada UV, análise laboratorial, controle de poço e carro-pipa</t>
        </is>
      </c>
      <c r="E5" s="17" t="inlineStr">
        <is>
          <t>Cloro residual: semanal (pedido)</t>
        </is>
      </c>
      <c r="F5" s="19">
        <f>COUNTIFS(Catalogo!$O$2:$O$196,A5,Catalogo!$H$2:$H$196,"&lt;&gt;N")</f>
        <v/>
      </c>
      <c r="G5" s="13" t="n"/>
      <c r="H5" s="18" t="n"/>
      <c r="I5" s="21" t="n"/>
      <c r="J5" s="22">
        <f>IF(OR(H5="",I5=""),"",I5+H5)</f>
        <v/>
      </c>
      <c r="K5" s="19">
        <f>IF(F5=0,"Sem itens",IF(OR(H5="",I5=""),"Sem registro",IF(TODAY()&gt;J5,"VENCIDO","Em dia")))</f>
        <v/>
      </c>
      <c r="L5" s="13" t="n"/>
      <c r="M5" s="13" t="n"/>
    </row>
    <row r="6">
      <c r="A6" s="19" t="n">
        <v>5</v>
      </c>
      <c r="B6" s="17" t="inlineStr">
        <is>
          <t>Água quente</t>
        </is>
      </c>
      <c r="C6" s="17" t="inlineStr">
        <is>
          <t>A12, A24, A25, A26, A27, A28, A29, A30, A31, G12</t>
        </is>
      </c>
      <c r="D6" s="17" t="inlineStr">
        <is>
          <t>Temperatura de acumulação e de retorno, recirculação, válvulas misturadoras, T&amp;P, trocadores, limpeza de acumulador</t>
        </is>
      </c>
      <c r="E6" s="17" t="inlineStr">
        <is>
          <t>Temperaturas: a definir (ASHRAE Guideline 12, ◻)</t>
        </is>
      </c>
      <c r="F6" s="19">
        <f>COUNTIFS(Catalogo!$O$2:$O$196,A6,Catalogo!$H$2:$H$196,"&lt;&gt;N")</f>
        <v/>
      </c>
      <c r="G6" s="13" t="n"/>
      <c r="H6" s="18" t="n"/>
      <c r="I6" s="21" t="n"/>
      <c r="J6" s="22">
        <f>IF(OR(H6="",I6=""),"",I6+H6)</f>
        <v/>
      </c>
      <c r="K6" s="19">
        <f>IF(F6=0,"Sem itens",IF(OR(H6="",I6=""),"Sem registro",IF(TODAY()&gt;J6,"VENCIDO","Em dia")))</f>
        <v/>
      </c>
      <c r="L6" s="13" t="n"/>
      <c r="M6" s="13" t="n"/>
    </row>
    <row r="7">
      <c r="A7" s="19" t="n">
        <v>6</v>
      </c>
      <c r="B7" s="17" t="inlineStr">
        <is>
          <t>Reposição, refluxo e interligações</t>
        </is>
      </c>
      <c r="C7" s="17" t="inlineStr">
        <is>
          <t>A13, C3, C14, C15, C16, C17, C18, C19, C20, H11, H12, H13, H14, H15, H17</t>
        </is>
      </c>
      <c r="D7" s="17" t="inlineStr">
        <is>
          <t>Ensaio de BPV e retenção; inspeção de folga de ar; busca de mangueira, jumper e by-pass; indicador de reposição</t>
        </is>
      </c>
      <c r="E7" s="17" t="inlineStr">
        <is>
          <t>Reposição de água do circuito: semanal (pedido)</t>
        </is>
      </c>
      <c r="F7" s="19">
        <f>COUNTIFS(Catalogo!$O$2:$O$196,A7,Catalogo!$H$2:$H$196,"&lt;&gt;N")</f>
        <v/>
      </c>
      <c r="G7" s="13" t="n"/>
      <c r="H7" s="18" t="n"/>
      <c r="I7" s="21" t="n"/>
      <c r="J7" s="22">
        <f>IF(OR(H7="",I7=""),"",I7+H7)</f>
        <v/>
      </c>
      <c r="K7" s="19">
        <f>IF(F7=0,"Sem itens",IF(OR(H7="",I7=""),"Sem registro",IF(TODAY()&gt;J7,"VENCIDO","Em dia")))</f>
        <v/>
      </c>
      <c r="L7" s="13" t="n"/>
      <c r="M7" s="13" t="n"/>
    </row>
    <row r="8">
      <c r="A8" s="19" t="n">
        <v>7</v>
      </c>
      <c r="B8" s="17" t="inlineStr">
        <is>
          <t>Reúso e fontes alternativas</t>
        </is>
      </c>
      <c r="C8" s="17" t="inlineStr">
        <is>
          <t>B1, B2, B3, B4, B5, B6, B7, B8, B9, B10, B11, B12, B13, B14, B15, B16</t>
        </is>
      </c>
      <c r="D8" s="17" t="inlineStr">
        <is>
          <t>Controle de qualidade do reúso, limpeza de cisterna, first flush, filtros, identificação, ensaio de estanqueidade da separação potável × reúso</t>
        </is>
      </c>
      <c r="E8" s="17" t="inlineStr">
        <is>
          <t>A definir pela NBR 16783 (◻)</t>
        </is>
      </c>
      <c r="F8" s="19">
        <f>COUNTIFS(Catalogo!$O$2:$O$196,A8,Catalogo!$H$2:$H$196,"&lt;&gt;N")</f>
        <v/>
      </c>
      <c r="G8" s="13" t="n"/>
      <c r="H8" s="18" t="n"/>
      <c r="I8" s="21" t="n"/>
      <c r="J8" s="22">
        <f>IF(OR(H8="",I8=""),"",I8+H8)</f>
        <v/>
      </c>
      <c r="K8" s="19">
        <f>IF(F8=0,"Sem itens",IF(OR(H8="",I8=""),"Sem registro",IF(TODAY()&gt;J8,"VENCIDO","Em dia")))</f>
        <v/>
      </c>
      <c r="L8" s="13" t="n"/>
      <c r="M8" s="13" t="n"/>
    </row>
    <row r="9">
      <c r="A9" s="19" t="n">
        <v>8</v>
      </c>
      <c r="B9" s="17" t="inlineStr">
        <is>
          <t>Circuitos de climatização</t>
        </is>
      </c>
      <c r="C9" s="17" t="inlineStr">
        <is>
          <t>C1, C4, C5, C6, C7, C9, C11, C12, C13, C21, C22, C23, C24, C25, C33, C36, C37</t>
        </is>
      </c>
      <c r="D9" s="17" t="inlineStr">
        <is>
          <t>Pressão, vazamento, bombas, trocadores, glicol, vaso de expansão, drenos e bandejas, PMOC</t>
        </is>
      </c>
      <c r="E9" s="17" t="inlineStr">
        <is>
          <t>PMOC (Lei 13.589); reposição: ver família 6</t>
        </is>
      </c>
      <c r="F9" s="19">
        <f>COUNTIFS(Catalogo!$O$2:$O$196,A9,Catalogo!$H$2:$H$196,"&lt;&gt;N")</f>
        <v/>
      </c>
      <c r="G9" s="13" t="n"/>
      <c r="H9" s="18" t="n"/>
      <c r="I9" s="21" t="n"/>
      <c r="J9" s="22">
        <f>IF(OR(H9="",I9=""),"",I9+H9)</f>
        <v/>
      </c>
      <c r="K9" s="19">
        <f>IF(F9=0,"Sem itens",IF(OR(H9="",I9=""),"Sem registro",IF(TODAY()&gt;J9,"VENCIDO","Em dia")))</f>
        <v/>
      </c>
      <c r="L9" s="13" t="n"/>
      <c r="M9" s="13" t="n"/>
    </row>
    <row r="10">
      <c r="A10" s="19" t="n">
        <v>9</v>
      </c>
      <c r="B10" s="17" t="inlineStr">
        <is>
          <t>Torre de resfriamento e tratamento químico</t>
        </is>
      </c>
      <c r="C10" s="17" t="inlineStr">
        <is>
          <t>C2, C8, C10, C26, C27, C28, C29, C30, C31, C32, C34, C35, C38</t>
        </is>
      </c>
      <c r="D10" s="17" t="inlineStr">
        <is>
          <t>Limpeza e desinfecção de bacia, enchimento, biocida, condutividade, purga, controlador, sondas, produto químico e contenção</t>
        </is>
      </c>
      <c r="E10" s="17" t="inlineStr">
        <is>
          <t>Dosagem química: semanal (pedido)</t>
        </is>
      </c>
      <c r="F10" s="19">
        <f>COUNTIFS(Catalogo!$O$2:$O$196,A10,Catalogo!$H$2:$H$196,"&lt;&gt;N")</f>
        <v/>
      </c>
      <c r="G10" s="13" t="n"/>
      <c r="H10" s="18" t="n"/>
      <c r="I10" s="21" t="n"/>
      <c r="J10" s="22">
        <f>IF(OR(H10="",I10=""),"",I10+H10)</f>
        <v/>
      </c>
      <c r="K10" s="19">
        <f>IF(F10=0,"Sem itens",IF(OR(H10="",I10=""),"Sem registro",IF(TODAY()&gt;J10,"VENCIDO","Em dia")))</f>
        <v/>
      </c>
      <c r="L10" s="13" t="n"/>
      <c r="M10" s="13" t="n"/>
    </row>
    <row r="11">
      <c r="A11" s="19" t="n">
        <v>10</v>
      </c>
      <c r="B11" s="17" t="inlineStr">
        <is>
          <t>Incêndio</t>
        </is>
      </c>
      <c r="C11" s="17" t="inlineStr">
        <is>
          <t>D1 a D21</t>
        </is>
      </c>
      <c r="D11" s="17" t="inlineStr">
        <is>
          <t>Teste de bombas (principal, jockey, diesel), válvulas supervisionadas abertas, mangueiras, hidrantes, RTI, rede seca, teste do ponto de teste</t>
        </is>
      </c>
      <c r="E11" s="17" t="inlineStr">
        <is>
          <t>Teste de bomba de incêndio: semanal (pedido)</t>
        </is>
      </c>
      <c r="F11" s="19">
        <f>COUNTIFS(Catalogo!$O$2:$O$196,A11,Catalogo!$H$2:$H$196,"&lt;&gt;N")</f>
        <v/>
      </c>
      <c r="G11" s="13" t="n"/>
      <c r="H11" s="18" t="n"/>
      <c r="I11" s="21" t="n"/>
      <c r="J11" s="22">
        <f>IF(OR(H11="",I11=""),"",I11+H11)</f>
        <v/>
      </c>
      <c r="K11" s="19">
        <f>IF(F11=0,"Sem itens",IF(OR(H11="",I11=""),"Sem registro",IF(TODAY()&gt;J11,"VENCIDO","Em dia")))</f>
        <v/>
      </c>
      <c r="L11" s="13" t="n"/>
      <c r="M11" s="13" t="n"/>
    </row>
    <row r="12">
      <c r="A12" s="19" t="n">
        <v>11</v>
      </c>
      <c r="B12" s="17" t="inlineStr">
        <is>
          <t>Esgoto e drenagem</t>
        </is>
      </c>
      <c r="C12" s="17" t="inlineStr">
        <is>
          <t>E1 a E24</t>
        </is>
      </c>
      <c r="D12" s="17" t="inlineStr">
        <is>
          <t>Limpeza de caixas, gordura, poços, bombas de recalque e de drenagem, ralos e selos, válvulas de retenção, reservatório de detenção</t>
        </is>
      </c>
      <c r="E12" s="17" t="inlineStr">
        <is>
          <t>Alarme de nível das bombas: a definir</t>
        </is>
      </c>
      <c r="F12" s="19">
        <f>COUNTIFS(Catalogo!$O$2:$O$196,A12,Catalogo!$H$2:$H$196,"&lt;&gt;N")</f>
        <v/>
      </c>
      <c r="G12" s="13" t="n"/>
      <c r="H12" s="18" t="n"/>
      <c r="I12" s="21" t="n"/>
      <c r="J12" s="22">
        <f>IF(OR(H12="",I12=""),"",I12+H12)</f>
        <v/>
      </c>
      <c r="K12" s="19">
        <f>IF(F12=0,"Sem itens",IF(OR(H12="",I12=""),"Sem registro",IF(TODAY()&gt;J12,"VENCIDO","Em dia")))</f>
        <v/>
      </c>
      <c r="L12" s="13" t="n"/>
      <c r="M12" s="13" t="n"/>
    </row>
    <row r="13">
      <c r="A13" s="19" t="n">
        <v>12</v>
      </c>
      <c r="B13" s="17" t="inlineStr">
        <is>
          <t>ETA, ETE e efluentes</t>
        </is>
      </c>
      <c r="C13" s="17" t="inlineStr">
        <is>
          <t>F1 a F8</t>
        </is>
      </c>
      <c r="D13" s="17" t="inlineStr">
        <is>
          <t>Operação e registro de ETA/ETE, sopradores, membranas, lodo, terciário, fossa, lavagem</t>
        </is>
      </c>
      <c r="E13" s="17" t="inlineStr">
        <is>
          <t>Licença e laudos: a definir (CONAMA 430, ◻ regra estadual)</t>
        </is>
      </c>
      <c r="F13" s="19">
        <f>COUNTIFS(Catalogo!$O$2:$O$196,A13,Catalogo!$H$2:$H$196,"&lt;&gt;N")</f>
        <v/>
      </c>
      <c r="G13" s="13" t="n"/>
      <c r="H13" s="18" t="n"/>
      <c r="I13" s="21" t="n"/>
      <c r="J13" s="22">
        <f>IF(OR(H13="",I13=""),"",I13+H13)</f>
        <v/>
      </c>
      <c r="K13" s="19">
        <f>IF(F13=0,"Sem itens",IF(OR(H13="",I13=""),"Sem registro",IF(TODAY()&gt;J13,"VENCIDO","Em dia")))</f>
        <v/>
      </c>
      <c r="L13" s="13" t="n"/>
      <c r="M13" s="13" t="n"/>
    </row>
    <row r="14">
      <c r="A14" s="19" t="n">
        <v>13</v>
      </c>
      <c r="B14" s="17" t="inlineStr">
        <is>
          <t>Piscinas, fontes e spas</t>
        </is>
      </c>
      <c r="C14" s="17" t="inlineStr">
        <is>
          <t>G1, G2, G19</t>
        </is>
      </c>
      <c r="D14" s="17" t="inlineStr">
        <is>
          <t>Cloro e pH, filtros, reposição, limpeza de fontes, saunas e duchas</t>
        </is>
      </c>
      <c r="E14" s="17" t="inlineStr">
        <is>
          <t>Parâmetros da NBR 10339 (◻ cláusula)</t>
        </is>
      </c>
      <c r="F14" s="19">
        <f>COUNTIFS(Catalogo!$O$2:$O$196,A14,Catalogo!$H$2:$H$196,"&lt;&gt;N")</f>
        <v/>
      </c>
      <c r="G14" s="13" t="n"/>
      <c r="H14" s="18" t="n"/>
      <c r="I14" s="21" t="n"/>
      <c r="J14" s="22">
        <f>IF(OR(H14="",I14=""),"",I14+H14)</f>
        <v/>
      </c>
      <c r="K14" s="19">
        <f>IF(F14=0,"Sem itens",IF(OR(H14="",I14=""),"Sem registro",IF(TODAY()&gt;J14,"VENCIDO","Em dia")))</f>
        <v/>
      </c>
      <c r="L14" s="13" t="n"/>
      <c r="M14" s="13" t="n"/>
    </row>
    <row r="15">
      <c r="A15" s="19" t="n">
        <v>14</v>
      </c>
      <c r="B15" s="17" t="inlineStr">
        <is>
          <t>Cozinhas, lavanderia, gelo e processos de locatário</t>
        </is>
      </c>
      <c r="C15" s="17" t="inlineStr">
        <is>
          <t>G4, G5, G7, G8, G16, G17, G18, G20, G23</t>
        </is>
      </c>
      <c r="D15" s="17" t="inlineStr">
        <is>
          <t>Filtros, caixas de gordura (família 11), dispositivo antirretorno dos equipamentos, limpeza de reservatório do restaurante</t>
        </is>
      </c>
      <c r="E15" s="17" t="inlineStr">
        <is>
          <t>A definir; checar o locatário</t>
        </is>
      </c>
      <c r="F15" s="19">
        <f>COUNTIFS(Catalogo!$O$2:$O$196,A15,Catalogo!$H$2:$H$196,"&lt;&gt;N")</f>
        <v/>
      </c>
      <c r="G15" s="13" t="n"/>
      <c r="H15" s="18" t="n"/>
      <c r="I15" s="21" t="n"/>
      <c r="J15" s="22">
        <f>IF(OR(H15="",I15=""),"",I15+H15)</f>
        <v/>
      </c>
      <c r="K15" s="19">
        <f>IF(F15=0,"Sem itens",IF(OR(H15="",I15=""),"Sem registro",IF(TODAY()&gt;J15,"VENCIDO","Em dia")))</f>
        <v/>
      </c>
      <c r="L15" s="13" t="n"/>
      <c r="M15" s="13" t="n"/>
    </row>
    <row r="16">
      <c r="A16" s="19" t="n">
        <v>15</v>
      </c>
      <c r="B16" s="17" t="inlineStr">
        <is>
          <t>Lava-olhos e chuveiros de emergência</t>
        </is>
      </c>
      <c r="C16" s="17" t="inlineStr">
        <is>
          <t>G6, G21</t>
        </is>
      </c>
      <c r="D16" s="17" t="inlineStr">
        <is>
          <t>Acionamento e descarga, teste de vazão e temperatura, sinalização</t>
        </is>
      </c>
      <c r="E16" s="17" t="inlineStr">
        <is>
          <t>Acionamento semanal (ANSI/ISEA Z358.1; ◻ adoção no Brasil)</t>
        </is>
      </c>
      <c r="F16" s="19">
        <f>COUNTIFS(Catalogo!$O$2:$O$196,A16,Catalogo!$H$2:$H$196,"&lt;&gt;N")</f>
        <v/>
      </c>
      <c r="G16" s="13" t="n"/>
      <c r="H16" s="18" t="n"/>
      <c r="I16" s="21" t="n"/>
      <c r="J16" s="22">
        <f>IF(OR(H16="",I16=""),"",I16+H16)</f>
        <v/>
      </c>
      <c r="K16" s="19">
        <f>IF(F16=0,"Sem itens",IF(OR(H16="",I16=""),"Sem registro",IF(TODAY()&gt;J16,"VENCIDO","Em dia")))</f>
        <v/>
      </c>
      <c r="L16" s="13" t="n"/>
      <c r="M16" s="13" t="n"/>
    </row>
    <row r="17">
      <c r="A17" s="19" t="n">
        <v>16</v>
      </c>
      <c r="B17" s="17" t="inlineStr">
        <is>
          <t>Outros e gestão</t>
        </is>
      </c>
      <c r="C17" s="17" t="inlineStr">
        <is>
          <t>G3, G9, G13, G14, G15, G22, H1 a H10, H16, H18, H19, H20, H21, H22</t>
        </is>
      </c>
      <c r="D17" s="17" t="inlineStr">
        <is>
          <t>Irrigação, nebulização, telhado verde, lavagem, eventos; mapa, registros, telemetria, energia, documentação, contratos, comunicação, treinamento</t>
        </is>
      </c>
      <c r="E17" s="17" t="inlineStr">
        <is>
          <t>Relatório mensal + cadência semanal dos itens críticos</t>
        </is>
      </c>
      <c r="F17" s="19">
        <f>COUNTIFS(Catalogo!$O$2:$O$196,A17,Catalogo!$H$2:$H$196,"&lt;&gt;N")</f>
        <v/>
      </c>
      <c r="G17" s="13" t="n"/>
      <c r="H17" s="18" t="n"/>
      <c r="I17" s="21" t="n"/>
      <c r="J17" s="22">
        <f>IF(OR(H17="",I17=""),"",I17+H17)</f>
        <v/>
      </c>
      <c r="K17" s="19">
        <f>IF(F17=0,"Sem itens",IF(OR(H17="",I17=""),"Sem registro",IF(TODAY()&gt;J17,"VENCIDO","Em dia")))</f>
        <v/>
      </c>
      <c r="L17" s="13" t="n"/>
      <c r="M17" s="13" t="n"/>
    </row>
    <row r="19" ht="55" customHeight="1">
      <c r="B19" s="6" t="inlineStr">
        <is>
          <t>A cadência de referência vem do catálogo: só o que o projeto pede (semanal nos itens críticos) ou o que a fonte conferida diz. As demais periodicidades dependem do responsável técnico, do contrato e da regra local: preencha a coluna H com o que o condomínio adota. Sem periodicidade e data de execução, o status é 'Sem registro'.</t>
        </is>
      </c>
    </row>
  </sheetData>
  <mergeCells count="1">
    <mergeCell ref="B19:H19"/>
  </mergeCells>
  <conditionalFormatting sqref="K2:K17">
    <cfRule type="expression" priority="1" dxfId="0">
      <formula>K2="VENCIDO"</formula>
    </cfRule>
    <cfRule type="expression" priority="2" dxfId="2">
      <formula>K2="Em dia"</formula>
    </cfRule>
    <cfRule type="expression" priority="3" dxfId="1">
      <formula>K2="Sem registro"</formula>
    </cfRule>
  </conditionalFormatting>
  <dataValidations count="2">
    <dataValidation sqref="H2:H17" showDropDown="0" showInputMessage="0" showErrorMessage="1" allowBlank="1" error="Informe os dias como número inteiro" type="whole" operator="greaterThan">
      <formula1>0</formula1>
    </dataValidation>
    <dataValidation sqref="I2:I17" showDropDown="0" showInputMessage="0" showErrorMessage="1" allowBlank="1" error="Informe uma data" type="date" operator="greaterThan">
      <formula1>36526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85C12"/>
    <outlinePr summaryBelow="1" summaryRight="1"/>
    <pageSetUpPr/>
  </sheetPr>
  <dimension ref="A1:I50"/>
  <sheetViews>
    <sheetView zoomScale="10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70" customWidth="1" min="3" max="3"/>
    <col width="9" customWidth="1" min="4" max="4"/>
    <col width="10" customWidth="1" min="5" max="5"/>
    <col width="16" customWidth="1" min="6" max="6"/>
    <col width="9" customWidth="1" min="7" max="7"/>
    <col width="34" customWidth="1" min="8" max="8"/>
    <col width="14" customWidth="1" min="9" max="9"/>
  </cols>
  <sheetData>
    <row r="1">
      <c r="A1" s="1" t="inlineStr">
        <is>
          <t>Autovistoria — pontos de contaminação cruzada (Cenário 1)</t>
        </is>
      </c>
    </row>
    <row r="2">
      <c r="A2" s="4" t="inlineStr">
        <is>
          <t>Data da autovistoria</t>
        </is>
      </c>
      <c r="C2" s="23" t="n"/>
      <c r="D2" s="24" t="n"/>
      <c r="E2" s="25" t="n"/>
      <c r="G2" s="6" t="inlineStr">
        <is>
          <t>S = sim · N = não · ? = não sei (vale como pior caso) · NA = não se aplica. Fotografe cada ponto. Só olhe e registre; não opere o que você não sabe operar.</t>
        </is>
      </c>
    </row>
    <row r="3">
      <c r="A3" s="4" t="inlineStr">
        <is>
          <t>Quem fez (função)</t>
        </is>
      </c>
      <c r="C3" s="26" t="n"/>
      <c r="D3" s="24" t="n"/>
      <c r="E3" s="25" t="n"/>
    </row>
    <row r="4">
      <c r="A4" s="4" t="inlineStr">
        <is>
          <t>Quem acompanhou</t>
        </is>
      </c>
      <c r="C4" s="26" t="n"/>
      <c r="D4" s="24" t="n"/>
      <c r="E4" s="25" t="n"/>
    </row>
    <row r="6" ht="32" customHeight="1">
      <c r="A6" s="15" t="inlineStr">
        <is>
          <t>Item</t>
        </is>
      </c>
      <c r="B6" s="15" t="inlineStr">
        <is>
          <t>Tipo de ponto</t>
        </is>
      </c>
      <c r="C6" s="15" t="inlineStr">
        <is>
          <t>Verifique</t>
        </is>
      </c>
      <c r="D6" s="15" t="inlineStr">
        <is>
          <t>Crítico</t>
        </is>
      </c>
      <c r="E6" s="15" t="inlineStr">
        <is>
          <t>Esperado</t>
        </is>
      </c>
      <c r="F6" s="15" t="inlineStr">
        <is>
          <t>Resposta (S / N / ? / NA)</t>
        </is>
      </c>
      <c r="G6" s="15" t="inlineStr">
        <is>
          <t>Foto nº</t>
        </is>
      </c>
      <c r="H6" s="15" t="inlineStr">
        <is>
          <t>Observação</t>
        </is>
      </c>
      <c r="I6" s="15" t="inlineStr">
        <is>
          <t>Status</t>
        </is>
      </c>
    </row>
    <row r="7">
      <c r="A7" s="19" t="inlineStr">
        <is>
          <t>1.1</t>
        </is>
      </c>
      <c r="B7" s="17" t="inlineStr">
        <is>
          <t>Reposição do circuito (chiller, torre, caldeira, aquecimento)</t>
        </is>
      </c>
      <c r="C7" s="17" t="inlineStr">
        <is>
          <t>Localizei onde a água potável entra em cada circuito e anotei o local</t>
        </is>
      </c>
      <c r="D7" s="19" t="inlineStr">
        <is>
          <t>★</t>
        </is>
      </c>
      <c r="E7" s="19" t="inlineStr">
        <is>
          <t>S</t>
        </is>
      </c>
      <c r="F7" s="18" t="n"/>
      <c r="G7" s="18" t="n"/>
      <c r="H7" s="13" t="n"/>
      <c r="I7" s="19">
        <f>IF(F7="","Pendente",IF(F7="NA","N/A",IF(E7="info","Info",IF(F7="?",IF(D7="★","VERMELHO","AMARELO"),IF(F7=E7,"OK",IF(D7="★","VERMELHO","AMARELO"))))))</f>
        <v/>
      </c>
    </row>
    <row r="8">
      <c r="A8" s="19" t="inlineStr">
        <is>
          <t>1.2</t>
        </is>
      </c>
      <c r="B8" s="17" t="inlineStr">
        <is>
          <t>Reposição do circuito (chiller, torre, caldeira, aquecimento)</t>
        </is>
      </c>
      <c r="C8" s="17" t="inlineStr">
        <is>
          <t>A reposição é automática (válvula, boia ou solenoide)? (N = é manual)</t>
        </is>
      </c>
      <c r="D8" s="19" t="inlineStr"/>
      <c r="E8" s="19" t="inlineStr">
        <is>
          <t>info</t>
        </is>
      </c>
      <c r="F8" s="18" t="n"/>
      <c r="G8" s="18" t="n"/>
      <c r="H8" s="13" t="n"/>
      <c r="I8" s="19">
        <f>IF(F8="","Pendente",IF(F8="NA","N/A",IF(E8="info","Info",IF(F8="?",IF(D8="★","VERMELHO","AMARELO"),IF(F8=E8,"OK",IF(D8="★","VERMELHO","AMARELO"))))))</f>
        <v/>
      </c>
    </row>
    <row r="9">
      <c r="A9" s="19" t="inlineStr">
        <is>
          <t>1.3</t>
        </is>
      </c>
      <c r="B9" s="17" t="inlineStr">
        <is>
          <t>Reposição do circuito (chiller, torre, caldeira, aquecimento)</t>
        </is>
      </c>
      <c r="C9" s="17" t="inlineStr">
        <is>
          <t>Existe folga de ar visível (separação atmosférica) entre a saída do potável e o tanque/circuito?</t>
        </is>
      </c>
      <c r="D9" s="19" t="inlineStr">
        <is>
          <t>★</t>
        </is>
      </c>
      <c r="E9" s="19" t="inlineStr">
        <is>
          <t>S</t>
        </is>
      </c>
      <c r="F9" s="18" t="n"/>
      <c r="G9" s="18" t="n"/>
      <c r="H9" s="13" t="n"/>
      <c r="I9" s="19">
        <f>IF(F9="","Pendente",IF(F9="NA","N/A",IF(E9="info","Info",IF(F9="?",IF(D9="★","VERMELHO","AMARELO"),IF(F9=E9,"OK",IF(D9="★","VERMELHO","AMARELO"))))))</f>
        <v/>
      </c>
    </row>
    <row r="10">
      <c r="A10" s="19" t="inlineStr">
        <is>
          <t>1.4</t>
        </is>
      </c>
      <c r="B10" s="17" t="inlineStr">
        <is>
          <t>Reposição do circuito (chiller, torre, caldeira, aquecimento)</t>
        </is>
      </c>
      <c r="C10" s="17" t="inlineStr">
        <is>
          <t>Se não há folga de ar: existe dispositivo antirretorno com plaqueta legível (tipo e data)? (NA se há folga de ar)</t>
        </is>
      </c>
      <c r="D10" s="19" t="inlineStr">
        <is>
          <t>★</t>
        </is>
      </c>
      <c r="E10" s="19" t="inlineStr">
        <is>
          <t>S</t>
        </is>
      </c>
      <c r="F10" s="18" t="n"/>
      <c r="G10" s="18" t="n"/>
      <c r="H10" s="13" t="n"/>
      <c r="I10" s="19">
        <f>IF(F10="","Pendente",IF(F10="NA","N/A",IF(E10="info","Info",IF(F10="?",IF(D10="★","VERMELHO","AMARELO"),IF(F10=E10,"OK",IF(D10="★","VERMELHO","AMARELO"))))))</f>
        <v/>
      </c>
    </row>
    <row r="11">
      <c r="A11" s="19" t="inlineStr">
        <is>
          <t>1.5</t>
        </is>
      </c>
      <c r="B11" s="17" t="inlineStr">
        <is>
          <t>Reposição do circuito (chiller, torre, caldeira, aquecimento)</t>
        </is>
      </c>
      <c r="C11" s="17" t="inlineStr">
        <is>
          <t>Existe registro de teste desse dispositivo por profissional habilitado, com data? (NA se há folga de ar)</t>
        </is>
      </c>
      <c r="D11" s="19" t="inlineStr">
        <is>
          <t>★</t>
        </is>
      </c>
      <c r="E11" s="19" t="inlineStr">
        <is>
          <t>S</t>
        </is>
      </c>
      <c r="F11" s="18" t="n"/>
      <c r="G11" s="18" t="n"/>
      <c r="H11" s="13" t="n"/>
      <c r="I11" s="19">
        <f>IF(F11="","Pendente",IF(F11="NA","N/A",IF(E11="info","Info",IF(F11="?",IF(D11="★","VERMELHO","AMARELO"),IF(F11=E11,"OK",IF(D11="★","VERMELHO","AMARELO"))))))</f>
        <v/>
      </c>
    </row>
    <row r="12">
      <c r="A12" s="19" t="inlineStr">
        <is>
          <t>1.6</t>
        </is>
      </c>
      <c r="B12" s="17" t="inlineStr">
        <is>
          <t>Reposição do circuito (chiller, torre, caldeira, aquecimento)</t>
        </is>
      </c>
      <c r="C12" s="17" t="inlineStr">
        <is>
          <t>Há mangueira, engate rápido, jumper ou ligação provisória conectada ou guardada no ponto de reposição? (S = risco)</t>
        </is>
      </c>
      <c r="D12" s="19" t="inlineStr">
        <is>
          <t>★</t>
        </is>
      </c>
      <c r="E12" s="19" t="inlineStr">
        <is>
          <t>N</t>
        </is>
      </c>
      <c r="F12" s="18" t="n"/>
      <c r="G12" s="18" t="n"/>
      <c r="H12" s="13" t="n"/>
      <c r="I12" s="19">
        <f>IF(F12="","Pendente",IF(F12="NA","N/A",IF(E12="info","Info",IF(F12="?",IF(D12="★","VERMELHO","AMARELO"),IF(F12=E12,"OK",IF(D12="★","VERMELHO","AMARELO"))))))</f>
        <v/>
      </c>
    </row>
    <row r="13">
      <c r="A13" s="19" t="inlineStr">
        <is>
          <t>1.7</t>
        </is>
      </c>
      <c r="B13" s="17" t="inlineStr">
        <is>
          <t>Reposição do circuito (chiller, torre, caldeira, aquecimento)</t>
        </is>
      </c>
      <c r="C13" s="17" t="inlineStr">
        <is>
          <t>Se há bypass da válvula automática: está fechado, lacrado e identificado? (NA se não há bypass)</t>
        </is>
      </c>
      <c r="D13" s="19" t="inlineStr"/>
      <c r="E13" s="19" t="inlineStr">
        <is>
          <t>S</t>
        </is>
      </c>
      <c r="F13" s="18" t="n"/>
      <c r="G13" s="18" t="n"/>
      <c r="H13" s="13" t="n"/>
      <c r="I13" s="19">
        <f>IF(F13="","Pendente",IF(F13="NA","N/A",IF(E13="info","Info",IF(F13="?",IF(D13="★","VERMELHO","AMARELO"),IF(F13=E13,"OK",IF(D13="★","VERMELHO","AMARELO"))))))</f>
        <v/>
      </c>
    </row>
    <row r="14">
      <c r="A14" s="19" t="inlineStr">
        <is>
          <t>1.8</t>
        </is>
      </c>
      <c r="B14" s="17" t="inlineStr">
        <is>
          <t>Reposição do circuito (chiller, torre, caldeira, aquecimento)</t>
        </is>
      </c>
      <c r="C14" s="17" t="inlineStr">
        <is>
          <t>Há hidrômetro ou registro da reposição (litros) e livro de registro da reposição manual (quem, quando, quantos litros)?</t>
        </is>
      </c>
      <c r="D14" s="19" t="inlineStr"/>
      <c r="E14" s="19" t="inlineStr">
        <is>
          <t>S</t>
        </is>
      </c>
      <c r="F14" s="18" t="n"/>
      <c r="G14" s="18" t="n"/>
      <c r="H14" s="13" t="n"/>
      <c r="I14" s="19">
        <f>IF(F14="","Pendente",IF(F14="NA","N/A",IF(E14="info","Info",IF(F14="?",IF(D14="★","VERMELHO","AMARELO"),IF(F14=E14,"OK",IF(D14="★","VERMELHO","AMARELO"))))))</f>
        <v/>
      </c>
    </row>
    <row r="15">
      <c r="A15" s="19" t="inlineStr">
        <is>
          <t>1.9</t>
        </is>
      </c>
      <c r="B15" s="17" t="inlineStr">
        <is>
          <t>Reposição do circuito (chiller, torre, caldeira, aquecimento)</t>
        </is>
      </c>
      <c r="C15" s="17" t="inlineStr">
        <is>
          <t>Há vazamento visível no circuito (válvulas, flanges, bombas) ou sinal de reposição acima do normal? (S = risco)</t>
        </is>
      </c>
      <c r="D15" s="19" t="inlineStr"/>
      <c r="E15" s="19" t="inlineStr">
        <is>
          <t>N</t>
        </is>
      </c>
      <c r="F15" s="18" t="n"/>
      <c r="G15" s="18" t="n"/>
      <c r="H15" s="13" t="n"/>
      <c r="I15" s="19">
        <f>IF(F15="","Pendente",IF(F15="NA","N/A",IF(E15="info","Info",IF(F15="?",IF(D15="★","VERMELHO","AMARELO"),IF(F15=E15,"OK",IF(D15="★","VERMELHO","AMARELO"))))))</f>
        <v/>
      </c>
    </row>
    <row r="16">
      <c r="A16" s="19" t="inlineStr">
        <is>
          <t>1.10</t>
        </is>
      </c>
      <c r="B16" s="17" t="inlineStr">
        <is>
          <t>Reposição do circuito (chiller, torre, caldeira, aquecimento)</t>
        </is>
      </c>
      <c r="C16" s="17" t="inlineStr">
        <is>
          <t>O ladrão ou extravasor do tanque de expansão/reposição vai para algum reservatório de água potável? (S = risco)</t>
        </is>
      </c>
      <c r="D16" s="19" t="inlineStr">
        <is>
          <t>★</t>
        </is>
      </c>
      <c r="E16" s="19" t="inlineStr">
        <is>
          <t>N</t>
        </is>
      </c>
      <c r="F16" s="18" t="n"/>
      <c r="G16" s="18" t="n"/>
      <c r="H16" s="13" t="n"/>
      <c r="I16" s="19">
        <f>IF(F16="","Pendente",IF(F16="NA","N/A",IF(E16="info","Info",IF(F16="?",IF(D16="★","VERMELHO","AMARELO"),IF(F16=E16,"OK",IF(D16="★","VERMELHO","AMARELO"))))))</f>
        <v/>
      </c>
    </row>
    <row r="17">
      <c r="A17" s="19" t="inlineStr">
        <is>
          <t>1.11</t>
        </is>
      </c>
      <c r="B17" s="17" t="inlineStr">
        <is>
          <t>Reposição do circuito (chiller, torre, caldeira, aquecimento)</t>
        </is>
      </c>
      <c r="C17" s="17" t="inlineStr">
        <is>
          <t>Alguma tubulação do circuito passa sobre ou dentro de reservatório de potável? (S = risco)</t>
        </is>
      </c>
      <c r="D17" s="19" t="inlineStr">
        <is>
          <t>★</t>
        </is>
      </c>
      <c r="E17" s="19" t="inlineStr">
        <is>
          <t>N</t>
        </is>
      </c>
      <c r="F17" s="18" t="n"/>
      <c r="G17" s="18" t="n"/>
      <c r="H17" s="13" t="n"/>
      <c r="I17" s="19">
        <f>IF(F17="","Pendente",IF(F17="NA","N/A",IF(E17="info","Info",IF(F17="?",IF(D17="★","VERMELHO","AMARELO"),IF(F17=E17,"OK",IF(D17="★","VERMELHO","AMARELO"))))))</f>
        <v/>
      </c>
    </row>
    <row r="18">
      <c r="A18" s="19" t="inlineStr">
        <is>
          <t>1.12</t>
        </is>
      </c>
      <c r="B18" s="17" t="inlineStr">
        <is>
          <t>Reposição do circuito (chiller, torre, caldeira, aquecimento)</t>
        </is>
      </c>
      <c r="C18" s="17" t="inlineStr">
        <is>
          <t>A linha de dosagem química liga em algum ponto com água potável? (S = risco)</t>
        </is>
      </c>
      <c r="D18" s="19" t="inlineStr"/>
      <c r="E18" s="19" t="inlineStr">
        <is>
          <t>N</t>
        </is>
      </c>
      <c r="F18" s="18" t="n"/>
      <c r="G18" s="18" t="n"/>
      <c r="H18" s="13" t="n"/>
      <c r="I18" s="19">
        <f>IF(F18="","Pendente",IF(F18="NA","N/A",IF(E18="info","Info",IF(F18="?",IF(D18="★","VERMELHO","AMARELO"),IF(F18=E18,"OK",IF(D18="★","VERMELHO","AMARELO"))))))</f>
        <v/>
      </c>
    </row>
    <row r="19">
      <c r="A19" s="19" t="inlineStr">
        <is>
          <t>1.13</t>
        </is>
      </c>
      <c r="B19" s="17" t="inlineStr">
        <is>
          <t>Reposição do circuito (chiller, torre, caldeira, aquecimento)</t>
        </is>
      </c>
      <c r="C19" s="17" t="inlineStr">
        <is>
          <t>Há kit de reposição manual segura (tanque com folga de ar + bomba de transferência) e procedimento por escrito?</t>
        </is>
      </c>
      <c r="D19" s="19" t="inlineStr"/>
      <c r="E19" s="19" t="inlineStr">
        <is>
          <t>S</t>
        </is>
      </c>
      <c r="F19" s="18" t="n"/>
      <c r="G19" s="18" t="n"/>
      <c r="H19" s="13" t="n"/>
      <c r="I19" s="19">
        <f>IF(F19="","Pendente",IF(F19="NA","N/A",IF(E19="info","Info",IF(F19="?",IF(D19="★","VERMELHO","AMARELO"),IF(F19=E19,"OK",IF(D19="★","VERMELHO","AMARELO"))))))</f>
        <v/>
      </c>
    </row>
    <row r="20">
      <c r="A20" s="19" t="inlineStr">
        <is>
          <t>1.14</t>
        </is>
      </c>
      <c r="B20" s="17" t="inlineStr">
        <is>
          <t>Reposição do circuito (chiller, torre, caldeira, aquecimento)</t>
        </is>
      </c>
      <c r="C20" s="17" t="inlineStr">
        <is>
          <t>Existe traçador (corante) no circuito e está visível (torneira sentinela, visor)?</t>
        </is>
      </c>
      <c r="D20" s="19" t="inlineStr"/>
      <c r="E20" s="19" t="inlineStr">
        <is>
          <t>S</t>
        </is>
      </c>
      <c r="F20" s="18" t="n"/>
      <c r="G20" s="18" t="n"/>
      <c r="H20" s="13" t="n"/>
      <c r="I20" s="19">
        <f>IF(F20="","Pendente",IF(F20="NA","N/A",IF(E20="info","Info",IF(F20="?",IF(D20="★","VERMELHO","AMARELO"),IF(F20=E20,"OK",IF(D20="★","VERMELHO","AMARELO"))))))</f>
        <v/>
      </c>
    </row>
    <row r="21">
      <c r="A21" s="19" t="inlineStr">
        <is>
          <t>2.1</t>
        </is>
      </c>
      <c r="B21" s="17" t="inlineStr">
        <is>
          <t>Reúso</t>
        </is>
      </c>
      <c r="C21" s="17" t="inlineStr">
        <is>
          <t>Existe água de reúso no prédio? Anotar a origem (ETE, água cinza, chuva). (NA nos demais itens do tipo 2 se N)</t>
        </is>
      </c>
      <c r="D21" s="19" t="inlineStr"/>
      <c r="E21" s="19" t="inlineStr">
        <is>
          <t>info</t>
        </is>
      </c>
      <c r="F21" s="18" t="n"/>
      <c r="G21" s="18" t="n"/>
      <c r="H21" s="13" t="n"/>
      <c r="I21" s="19">
        <f>IF(F21="","Pendente",IF(F21="NA","N/A",IF(E21="info","Info",IF(F21="?",IF(D21="★","VERMELHO","AMARELO"),IF(F21=E21,"OK",IF(D21="★","VERMELHO","AMARELO"))))))</f>
        <v/>
      </c>
    </row>
    <row r="22">
      <c r="A22" s="19" t="inlineStr">
        <is>
          <t>2.2</t>
        </is>
      </c>
      <c r="B22" s="17" t="inlineStr">
        <is>
          <t>Reúso</t>
        </is>
      </c>
      <c r="C22" s="17" t="inlineStr">
        <is>
          <t>Toda a tubulação de reúso está identificada visualmente (cor, faixa, placa) nos trechos visíveis, inclusive forro e casa de máquinas?</t>
        </is>
      </c>
      <c r="D22" s="19" t="inlineStr">
        <is>
          <t>★</t>
        </is>
      </c>
      <c r="E22" s="19" t="inlineStr">
        <is>
          <t>S</t>
        </is>
      </c>
      <c r="F22" s="18" t="n"/>
      <c r="G22" s="18" t="n"/>
      <c r="H22" s="13" t="n"/>
      <c r="I22" s="19">
        <f>IF(F22="","Pendente",IF(F22="NA","N/A",IF(E22="info","Info",IF(F22="?",IF(D22="★","VERMELHO","AMARELO"),IF(F22=E22,"OK",IF(D22="★","VERMELHO","AMARELO"))))))</f>
        <v/>
      </c>
    </row>
    <row r="23">
      <c r="A23" s="19" t="inlineStr">
        <is>
          <t>2.3</t>
        </is>
      </c>
      <c r="B23" s="17" t="inlineStr">
        <is>
          <t>Reúso</t>
        </is>
      </c>
      <c r="C23" s="17" t="inlineStr">
        <is>
          <t>Os pontos de uso (descarga, irrigação, lavagem) têm placa 'ÁGUA NÃO POTÁVEL'? Torneira de reúso sem volante comum ou com acesso restrito?</t>
        </is>
      </c>
      <c r="D23" s="19" t="inlineStr"/>
      <c r="E23" s="19" t="inlineStr">
        <is>
          <t>S</t>
        </is>
      </c>
      <c r="F23" s="18" t="n"/>
      <c r="G23" s="18" t="n"/>
      <c r="H23" s="13" t="n"/>
      <c r="I23" s="19">
        <f>IF(F23="","Pendente",IF(F23="NA","N/A",IF(E23="info","Info",IF(F23="?",IF(D23="★","VERMELHO","AMARELO"),IF(F23=E23,"OK",IF(D23="★","VERMELHO","AMARELO"))))))</f>
        <v/>
      </c>
    </row>
    <row r="24">
      <c r="A24" s="19" t="inlineStr">
        <is>
          <t>2.4</t>
        </is>
      </c>
      <c r="B24" s="17" t="inlineStr">
        <is>
          <t>Reúso</t>
        </is>
      </c>
      <c r="C24" s="17" t="inlineStr">
        <is>
          <t>Existe válvula de transferência, bypass ou interligação entre reúso e potável? (S = risco)</t>
        </is>
      </c>
      <c r="D24" s="19" t="inlineStr">
        <is>
          <t>★</t>
        </is>
      </c>
      <c r="E24" s="19" t="inlineStr">
        <is>
          <t>N</t>
        </is>
      </c>
      <c r="F24" s="18" t="n"/>
      <c r="G24" s="18" t="n"/>
      <c r="H24" s="13" t="n"/>
      <c r="I24" s="19">
        <f>IF(F24="","Pendente",IF(F24="NA","N/A",IF(E24="info","Info",IF(F24="?",IF(D24="★","VERMELHO","AMARELO"),IF(F24=E24,"OK",IF(D24="★","VERMELHO","AMARELO"))))))</f>
        <v/>
      </c>
    </row>
    <row r="25">
      <c r="A25" s="19" t="inlineStr">
        <is>
          <t>2.5</t>
        </is>
      </c>
      <c r="B25" s="17" t="inlineStr">
        <is>
          <t>Reúso</t>
        </is>
      </c>
      <c r="C25" s="17" t="inlineStr">
        <is>
          <t>Se existe: está fechada, lacrada e identificada? Quem guarda a chave? (NA se não existe interligação)</t>
        </is>
      </c>
      <c r="D25" s="19" t="inlineStr">
        <is>
          <t>★</t>
        </is>
      </c>
      <c r="E25" s="19" t="inlineStr">
        <is>
          <t>S</t>
        </is>
      </c>
      <c r="F25" s="18" t="n"/>
      <c r="G25" s="18" t="n"/>
      <c r="H25" s="13" t="n"/>
      <c r="I25" s="19">
        <f>IF(F25="","Pendente",IF(F25="NA","N/A",IF(E25="info","Info",IF(F25="?",IF(D25="★","VERMELHO","AMARELO"),IF(F25=E25,"OK",IF(D25="★","VERMELHO","AMARELO"))))))</f>
        <v/>
      </c>
    </row>
    <row r="26">
      <c r="A26" s="19" t="inlineStr">
        <is>
          <t>2.6</t>
        </is>
      </c>
      <c r="B26" s="17" t="inlineStr">
        <is>
          <t>Reúso</t>
        </is>
      </c>
      <c r="C26" s="17" t="inlineStr">
        <is>
          <t>O reservatório de reúso é reposto com potável? Se sim, há folga de ar nessa reposição? (NA se não é reposto com potável)</t>
        </is>
      </c>
      <c r="D26" s="19" t="inlineStr">
        <is>
          <t>★</t>
        </is>
      </c>
      <c r="E26" s="19" t="inlineStr">
        <is>
          <t>S</t>
        </is>
      </c>
      <c r="F26" s="18" t="n"/>
      <c r="G26" s="18" t="n"/>
      <c r="H26" s="13" t="n"/>
      <c r="I26" s="19">
        <f>IF(F26="","Pendente",IF(F26="NA","N/A",IF(E26="info","Info",IF(F26="?",IF(D26="★","VERMELHO","AMARELO"),IF(F26=E26,"OK",IF(D26="★","VERMELHO","AMARELO"))))))</f>
        <v/>
      </c>
    </row>
    <row r="27">
      <c r="A27" s="19" t="inlineStr">
        <is>
          <t>2.7</t>
        </is>
      </c>
      <c r="B27" s="17" t="inlineStr">
        <is>
          <t>Reúso</t>
        </is>
      </c>
      <c r="C27" s="17" t="inlineStr">
        <is>
          <t>Há tubulação de reúso e de potável lado a lado sem identificação clara? (S = risco)</t>
        </is>
      </c>
      <c r="D27" s="19" t="inlineStr"/>
      <c r="E27" s="19" t="inlineStr">
        <is>
          <t>N</t>
        </is>
      </c>
      <c r="F27" s="18" t="n"/>
      <c r="G27" s="18" t="n"/>
      <c r="H27" s="13" t="n"/>
      <c r="I27" s="19">
        <f>IF(F27="","Pendente",IF(F27="NA","N/A",IF(E27="info","Info",IF(F27="?",IF(D27="★","VERMELHO","AMARELO"),IF(F27=E27,"OK",IF(D27="★","VERMELHO","AMARELO"))))))</f>
        <v/>
      </c>
    </row>
    <row r="28">
      <c r="A28" s="19" t="inlineStr">
        <is>
          <t>2.8</t>
        </is>
      </c>
      <c r="B28" s="17" t="inlineStr">
        <is>
          <t>Reúso</t>
        </is>
      </c>
      <c r="C28" s="17" t="inlineStr">
        <is>
          <t>Há bebedouro, copa ou torneira de uso potável perto de ponto de reúso? (S = risco)</t>
        </is>
      </c>
      <c r="D28" s="19" t="inlineStr"/>
      <c r="E28" s="19" t="inlineStr">
        <is>
          <t>N</t>
        </is>
      </c>
      <c r="F28" s="18" t="n"/>
      <c r="G28" s="18" t="n"/>
      <c r="H28" s="13" t="n"/>
      <c r="I28" s="19">
        <f>IF(F28="","Pendente",IF(F28="NA","N/A",IF(E28="info","Info",IF(F28="?",IF(D28="★","VERMELHO","AMARELO"),IF(F28=E28,"OK",IF(D28="★","VERMELHO","AMARELO"))))))</f>
        <v/>
      </c>
    </row>
    <row r="29">
      <c r="A29" s="19" t="inlineStr">
        <is>
          <t>2.9</t>
        </is>
      </c>
      <c r="B29" s="17" t="inlineStr">
        <is>
          <t>Reúso</t>
        </is>
      </c>
      <c r="C29" s="17" t="inlineStr">
        <is>
          <t>O traçador (corante) do reúso continua presente e visível?</t>
        </is>
      </c>
      <c r="D29" s="19" t="inlineStr"/>
      <c r="E29" s="19" t="inlineStr">
        <is>
          <t>S</t>
        </is>
      </c>
      <c r="F29" s="18" t="n"/>
      <c r="G29" s="18" t="n"/>
      <c r="H29" s="13" t="n"/>
      <c r="I29" s="19">
        <f>IF(F29="","Pendente",IF(F29="NA","N/A",IF(E29="info","Info",IF(F29="?",IF(D29="★","VERMELHO","AMARELO"),IF(F29=E29,"OK",IF(D29="★","VERMELHO","AMARELO"))))))</f>
        <v/>
      </c>
    </row>
    <row r="30">
      <c r="A30" s="19" t="inlineStr">
        <is>
          <t>3.1</t>
        </is>
      </c>
      <c r="B30" s="17" t="inlineStr">
        <is>
          <t>Reserva e rede de incêndio</t>
        </is>
      </c>
      <c r="C30" s="17" t="inlineStr">
        <is>
          <t>A reserva de incêndio é reposta pela rede potável? Se sim, há folga de ar? (NA se não é reposta pela rede potável)</t>
        </is>
      </c>
      <c r="D30" s="19" t="inlineStr">
        <is>
          <t>★</t>
        </is>
      </c>
      <c r="E30" s="19" t="inlineStr">
        <is>
          <t>S</t>
        </is>
      </c>
      <c r="F30" s="18" t="n"/>
      <c r="G30" s="18" t="n"/>
      <c r="H30" s="13" t="n"/>
      <c r="I30" s="19">
        <f>IF(F30="","Pendente",IF(F30="NA","N/A",IF(E30="info","Info",IF(F30="?",IF(D30="★","VERMELHO","AMARELO"),IF(F30=E30,"OK",IF(D30="★","VERMELHO","AMARELO"))))))</f>
        <v/>
      </c>
    </row>
    <row r="31">
      <c r="A31" s="19" t="inlineStr">
        <is>
          <t>3.2</t>
        </is>
      </c>
      <c r="B31" s="17" t="inlineStr">
        <is>
          <t>Reserva e rede de incêndio</t>
        </is>
      </c>
      <c r="C31" s="17" t="inlineStr">
        <is>
          <t>Se a reserva de incêndio é o mesmo reservatório da água de consumo: a saída do consumo fica acima do nível da reserva? (NA se reservatórios separados)</t>
        </is>
      </c>
      <c r="D31" s="19" t="inlineStr">
        <is>
          <t>★</t>
        </is>
      </c>
      <c r="E31" s="19" t="inlineStr">
        <is>
          <t>S</t>
        </is>
      </c>
      <c r="F31" s="18" t="n"/>
      <c r="G31" s="18" t="n"/>
      <c r="H31" s="13" t="n"/>
      <c r="I31" s="19">
        <f>IF(F31="","Pendente",IF(F31="NA","N/A",IF(E31="info","Info",IF(F31="?",IF(D31="★","VERMELHO","AMARELO"),IF(F31=E31,"OK",IF(D31="★","VERMELHO","AMARELO"))))))</f>
        <v/>
      </c>
    </row>
    <row r="32">
      <c r="A32" s="19" t="inlineStr">
        <is>
          <t>3.3</t>
        </is>
      </c>
      <c r="B32" s="17" t="inlineStr">
        <is>
          <t>Reserva e rede de incêndio</t>
        </is>
      </c>
      <c r="C32" s="17" t="inlineStr">
        <is>
          <t>Existe conexão entre a rede de incêndio e a rede potável (válvula de reposição, jumper de teste)? (S = risco)</t>
        </is>
      </c>
      <c r="D32" s="19" t="inlineStr">
        <is>
          <t>★</t>
        </is>
      </c>
      <c r="E32" s="19" t="inlineStr">
        <is>
          <t>N</t>
        </is>
      </c>
      <c r="F32" s="18" t="n"/>
      <c r="G32" s="18" t="n"/>
      <c r="H32" s="13" t="n"/>
      <c r="I32" s="19">
        <f>IF(F32="","Pendente",IF(F32="NA","N/A",IF(E32="info","Info",IF(F32="?",IF(D32="★","VERMELHO","AMARELO"),IF(F32=E32,"OK",IF(D32="★","VERMELHO","AMARELO"))))))</f>
        <v/>
      </c>
    </row>
    <row r="33">
      <c r="A33" s="19" t="inlineStr">
        <is>
          <t>3.4</t>
        </is>
      </c>
      <c r="B33" s="17" t="inlineStr">
        <is>
          <t>Reserva e rede de incêndio</t>
        </is>
      </c>
      <c r="C33" s="17" t="inlineStr">
        <is>
          <t>Em testes de bomba ou de sprinkler usa-se mangueira ligada ao potável? (S = risco)</t>
        </is>
      </c>
      <c r="D33" s="19" t="inlineStr"/>
      <c r="E33" s="19" t="inlineStr">
        <is>
          <t>N</t>
        </is>
      </c>
      <c r="F33" s="18" t="n"/>
      <c r="G33" s="18" t="n"/>
      <c r="H33" s="13" t="n"/>
      <c r="I33" s="19">
        <f>IF(F33="","Pendente",IF(F33="NA","N/A",IF(E33="info","Info",IF(F33="?",IF(D33="★","VERMELHO","AMARELO"),IF(F33=E33,"OK",IF(D33="★","VERMELHO","AMARELO"))))))</f>
        <v/>
      </c>
    </row>
    <row r="34">
      <c r="A34" s="19" t="inlineStr">
        <is>
          <t>3.5</t>
        </is>
      </c>
      <c r="B34" s="17" t="inlineStr">
        <is>
          <t>Reserva e rede de incêndio</t>
        </is>
      </c>
      <c r="C34" s="17" t="inlineStr">
        <is>
          <t>Se a rede de sprinklers tem aditivo (anticongelante, espuma): o ponto de reposição ou de teste é protegido contra refluxo? (NA se não há aditivo)</t>
        </is>
      </c>
      <c r="D34" s="19" t="inlineStr"/>
      <c r="E34" s="19" t="inlineStr">
        <is>
          <t>S</t>
        </is>
      </c>
      <c r="F34" s="18" t="n"/>
      <c r="G34" s="18" t="n"/>
      <c r="H34" s="13" t="n"/>
      <c r="I34" s="19">
        <f>IF(F34="","Pendente",IF(F34="NA","N/A",IF(E34="info","Info",IF(F34="?",IF(D34="★","VERMELHO","AMARELO"),IF(F34=E34,"OK",IF(D34="★","VERMELHO","AMARELO"))))))</f>
        <v/>
      </c>
    </row>
    <row r="35">
      <c r="A35" s="19" t="inlineStr">
        <is>
          <t>3.6</t>
        </is>
      </c>
      <c r="B35" s="17" t="inlineStr">
        <is>
          <t>Reserva e rede de incêndio</t>
        </is>
      </c>
      <c r="C35" s="17" t="inlineStr">
        <is>
          <t>Há registro das manobras de teste (data, quem, o que foi aberto)?</t>
        </is>
      </c>
      <c r="D35" s="19" t="inlineStr"/>
      <c r="E35" s="19" t="inlineStr">
        <is>
          <t>S</t>
        </is>
      </c>
      <c r="F35" s="18" t="n"/>
      <c r="G35" s="18" t="n"/>
      <c r="H35" s="13" t="n"/>
      <c r="I35" s="19">
        <f>IF(F35="","Pendente",IF(F35="NA","N/A",IF(E35="info","Info",IF(F35="?",IF(D35="★","VERMELHO","AMARELO"),IF(F35=E35,"OK",IF(D35="★","VERMELHO","AMARELO"))))))</f>
        <v/>
      </c>
    </row>
    <row r="36">
      <c r="A36" s="19" t="inlineStr">
        <is>
          <t>4.1</t>
        </is>
      </c>
      <c r="B36" s="17" t="inlineStr">
        <is>
          <t>Trocadores de calor (água quente × circuito químico)</t>
        </is>
      </c>
      <c r="C36" s="17" t="inlineStr">
        <is>
          <t>Existe trocador de calor entre o circuito com produto químico e a água potável (água quente)? Anotar tipo e localização. (NA nos demais itens do tipo 4 se N)</t>
        </is>
      </c>
      <c r="D36" s="19" t="inlineStr"/>
      <c r="E36" s="19" t="inlineStr">
        <is>
          <t>info</t>
        </is>
      </c>
      <c r="F36" s="18" t="n"/>
      <c r="G36" s="18" t="n"/>
      <c r="H36" s="13" t="n"/>
      <c r="I36" s="19">
        <f>IF(F36="","Pendente",IF(F36="NA","N/A",IF(E36="info","Info",IF(F36="?",IF(D36="★","VERMELHO","AMARELO"),IF(F36=E36,"OK",IF(D36="★","VERMELHO","AMARELO"))))))</f>
        <v/>
      </c>
    </row>
    <row r="37">
      <c r="A37" s="19" t="inlineStr">
        <is>
          <t>4.2</t>
        </is>
      </c>
      <c r="B37" s="17" t="inlineStr">
        <is>
          <t>Trocadores de calor (água quente × circuito químico)</t>
        </is>
      </c>
      <c r="C37" s="17" t="inlineStr">
        <is>
          <t>A parede é dupla (com detecção de vazamento)? Existe plaqueta ou documento que diga?</t>
        </is>
      </c>
      <c r="D37" s="19" t="inlineStr">
        <is>
          <t>★</t>
        </is>
      </c>
      <c r="E37" s="19" t="inlineStr">
        <is>
          <t>S</t>
        </is>
      </c>
      <c r="F37" s="18" t="n"/>
      <c r="G37" s="18" t="n"/>
      <c r="H37" s="13" t="n"/>
      <c r="I37" s="19">
        <f>IF(F37="","Pendente",IF(F37="NA","N/A",IF(E37="info","Info",IF(F37="?",IF(D37="★","VERMELHO","AMARELO"),IF(F37=E37,"OK",IF(D37="★","VERMELHO","AMARELO"))))))</f>
        <v/>
      </c>
    </row>
    <row r="38">
      <c r="A38" s="19" t="inlineStr">
        <is>
          <t>4.3</t>
        </is>
      </c>
      <c r="B38" s="17" t="inlineStr">
        <is>
          <t>Trocadores de calor (água quente × circuito químico)</t>
        </is>
      </c>
      <c r="C38" s="17" t="inlineStr">
        <is>
          <t>O lado potável tem pressão maior que o lado químico? (só marque S se houver documento ou medição)</t>
        </is>
      </c>
      <c r="D38" s="19" t="inlineStr">
        <is>
          <t>★</t>
        </is>
      </c>
      <c r="E38" s="19" t="inlineStr">
        <is>
          <t>S</t>
        </is>
      </c>
      <c r="F38" s="18" t="n"/>
      <c r="G38" s="18" t="n"/>
      <c r="H38" s="13" t="n"/>
      <c r="I38" s="19">
        <f>IF(F38="","Pendente",IF(F38="NA","N/A",IF(E38="info","Info",IF(F38="?",IF(D38="★","VERMELHO","AMARELO"),IF(F38=E38,"OK",IF(D38="★","VERMELHO","AMARELO"))))))</f>
        <v/>
      </c>
    </row>
    <row r="39">
      <c r="A39" s="19" t="inlineStr">
        <is>
          <t>4.4</t>
        </is>
      </c>
      <c r="B39" s="17" t="inlineStr">
        <is>
          <t>Trocadores de calor (água quente × circuito químico)</t>
        </is>
      </c>
      <c r="C39" s="17" t="inlineStr">
        <is>
          <t>Há dreno de inspeção ou indicador de vazamento no trocador?</t>
        </is>
      </c>
      <c r="D39" s="19" t="inlineStr"/>
      <c r="E39" s="19" t="inlineStr">
        <is>
          <t>S</t>
        </is>
      </c>
      <c r="F39" s="18" t="n"/>
      <c r="G39" s="18" t="n"/>
      <c r="H39" s="13" t="n"/>
      <c r="I39" s="19">
        <f>IF(F39="","Pendente",IF(F39="NA","N/A",IF(E39="info","Info",IF(F39="?",IF(D39="★","VERMELHO","AMARELO"),IF(F39=E39,"OK",IF(D39="★","VERMELHO","AMARELO"))))))</f>
        <v/>
      </c>
    </row>
    <row r="40">
      <c r="A40" s="19" t="inlineStr">
        <is>
          <t>4.5</t>
        </is>
      </c>
      <c r="B40" s="17" t="inlineStr">
        <is>
          <t>Trocadores de calor (água quente × circuito químico)</t>
        </is>
      </c>
      <c r="C40" s="17" t="inlineStr">
        <is>
          <t>Há registro da última inspeção de estanqueidade (data)?</t>
        </is>
      </c>
      <c r="D40" s="19" t="inlineStr"/>
      <c r="E40" s="19" t="inlineStr">
        <is>
          <t>S</t>
        </is>
      </c>
      <c r="F40" s="18" t="n"/>
      <c r="G40" s="18" t="n"/>
      <c r="H40" s="13" t="n"/>
      <c r="I40" s="19">
        <f>IF(F40="","Pendente",IF(F40="NA","N/A",IF(E40="info","Info",IF(F40="?",IF(D40="★","VERMELHO","AMARELO"),IF(F40=E40,"OK",IF(D40="★","VERMELHO","AMARELO"))))))</f>
        <v/>
      </c>
    </row>
    <row r="41">
      <c r="A41" s="19" t="inlineStr">
        <is>
          <t>4.6</t>
        </is>
      </c>
      <c r="B41" s="17" t="inlineStr">
        <is>
          <t>Trocadores de calor (água quente × circuito químico)</t>
        </is>
      </c>
      <c r="C41" s="17" t="inlineStr">
        <is>
          <t>O circuito químico perde água sem explicação? A reposição está aumentando? (S = risco)</t>
        </is>
      </c>
      <c r="D41" s="19" t="inlineStr"/>
      <c r="E41" s="19" t="inlineStr">
        <is>
          <t>N</t>
        </is>
      </c>
      <c r="F41" s="18" t="n"/>
      <c r="G41" s="18" t="n"/>
      <c r="H41" s="13" t="n"/>
      <c r="I41" s="19">
        <f>IF(F41="","Pendente",IF(F41="NA","N/A",IF(E41="info","Info",IF(F41="?",IF(D41="★","VERMELHO","AMARELO"),IF(F41=E41,"OK",IF(D41="★","VERMELHO","AMARELO"))))))</f>
        <v/>
      </c>
    </row>
    <row r="42">
      <c r="A42" s="19" t="inlineStr">
        <is>
          <t>5.1</t>
        </is>
      </c>
      <c r="B42" s="17" t="inlineStr">
        <is>
          <t>Dispositivos antirretorno e proteção contra refluxo</t>
        </is>
      </c>
      <c r="C42" s="17" t="inlineStr">
        <is>
          <t>Inventário feito: listei onde há dispositivo de refluxo (entrada, reposições, reúso, incêndio, piscina, cozinha, lavanderia, irrigação, máquina de gelo, lava-louças)</t>
        </is>
      </c>
      <c r="D42" s="19" t="inlineStr"/>
      <c r="E42" s="19" t="inlineStr">
        <is>
          <t>S</t>
        </is>
      </c>
      <c r="F42" s="18" t="n"/>
      <c r="G42" s="18" t="n"/>
      <c r="H42" s="13" t="n"/>
      <c r="I42" s="19">
        <f>IF(F42="","Pendente",IF(F42="NA","N/A",IF(E42="info","Info",IF(F42="?",IF(D42="★","VERMELHO","AMARELO"),IF(F42=E42,"OK",IF(D42="★","VERMELHO","AMARELO"))))))</f>
        <v/>
      </c>
    </row>
    <row r="43">
      <c r="A43" s="19" t="inlineStr">
        <is>
          <t>5.2</t>
        </is>
      </c>
      <c r="B43" s="17" t="inlineStr">
        <is>
          <t>Dispositivos antirretorno e proteção contra refluxo</t>
        </is>
      </c>
      <c r="C43" s="17" t="inlineStr">
        <is>
          <t>Cada dispositivo tem plaqueta legível (tipo: retenção simples, dupla, disconector/BPV, quebra-vácuo) e data de instalação?</t>
        </is>
      </c>
      <c r="D43" s="19" t="inlineStr">
        <is>
          <t>★</t>
        </is>
      </c>
      <c r="E43" s="19" t="inlineStr">
        <is>
          <t>S</t>
        </is>
      </c>
      <c r="F43" s="18" t="n"/>
      <c r="G43" s="18" t="n"/>
      <c r="H43" s="13" t="n"/>
      <c r="I43" s="19">
        <f>IF(F43="","Pendente",IF(F43="NA","N/A",IF(E43="info","Info",IF(F43="?",IF(D43="★","VERMELHO","AMARELO"),IF(F43=E43,"OK",IF(D43="★","VERMELHO","AMARELO"))))))</f>
        <v/>
      </c>
    </row>
    <row r="44">
      <c r="A44" s="19" t="inlineStr">
        <is>
          <t>5.3</t>
        </is>
      </c>
      <c r="B44" s="17" t="inlineStr">
        <is>
          <t>Dispositivos antirretorno e proteção contra refluxo</t>
        </is>
      </c>
      <c r="C44" s="17" t="inlineStr">
        <is>
          <t>Cada um tem registro de teste/manutenção por profissional habilitado, com data?</t>
        </is>
      </c>
      <c r="D44" s="19" t="inlineStr">
        <is>
          <t>★</t>
        </is>
      </c>
      <c r="E44" s="19" t="inlineStr">
        <is>
          <t>S</t>
        </is>
      </c>
      <c r="F44" s="18" t="n"/>
      <c r="G44" s="18" t="n"/>
      <c r="H44" s="13" t="n"/>
      <c r="I44" s="19">
        <f>IF(F44="","Pendente",IF(F44="NA","N/A",IF(E44="info","Info",IF(F44="?",IF(D44="★","VERMELHO","AMARELO"),IF(F44=E44,"OK",IF(D44="★","VERMELHO","AMARELO"))))))</f>
        <v/>
      </c>
    </row>
    <row r="45">
      <c r="A45" s="19" t="inlineStr">
        <is>
          <t>5.4</t>
        </is>
      </c>
      <c r="B45" s="17" t="inlineStr">
        <is>
          <t>Dispositivos antirretorno e proteção contra refluxo</t>
        </is>
      </c>
      <c r="C45" s="17" t="inlineStr">
        <is>
          <t>No disconector/BPV, o dreno está livre e visível? (N = obstruído, ligado direto ao esgoto ou submerso: risco)</t>
        </is>
      </c>
      <c r="D45" s="19" t="inlineStr">
        <is>
          <t>★</t>
        </is>
      </c>
      <c r="E45" s="19" t="inlineStr">
        <is>
          <t>S</t>
        </is>
      </c>
      <c r="F45" s="18" t="n"/>
      <c r="G45" s="18" t="n"/>
      <c r="H45" s="13" t="n"/>
      <c r="I45" s="19">
        <f>IF(F45="","Pendente",IF(F45="NA","N/A",IF(E45="info","Info",IF(F45="?",IF(D45="★","VERMELHO","AMARELO"),IF(F45=E45,"OK",IF(D45="★","VERMELHO","AMARELO"))))))</f>
        <v/>
      </c>
    </row>
    <row r="46">
      <c r="A46" s="19" t="inlineStr">
        <is>
          <t>5.5</t>
        </is>
      </c>
      <c r="B46" s="17" t="inlineStr">
        <is>
          <t>Dispositivos antirretorno e proteção contra refluxo</t>
        </is>
      </c>
      <c r="C46" s="17" t="inlineStr">
        <is>
          <t>Há torneira com bico para mangueira (garagem, jardim, DML, casa de máquinas) sem quebra-vácuo? (S = risco)</t>
        </is>
      </c>
      <c r="D46" s="19" t="inlineStr"/>
      <c r="E46" s="19" t="inlineStr">
        <is>
          <t>N</t>
        </is>
      </c>
      <c r="F46" s="18" t="n"/>
      <c r="G46" s="18" t="n"/>
      <c r="H46" s="13" t="n"/>
      <c r="I46" s="19">
        <f>IF(F46="","Pendente",IF(F46="NA","N/A",IF(E46="info","Info",IF(F46="?",IF(D46="★","VERMELHO","AMARELO"),IF(F46=E46,"OK",IF(D46="★","VERMELHO","AMARELO"))))))</f>
        <v/>
      </c>
    </row>
    <row r="47">
      <c r="A47" s="19" t="inlineStr">
        <is>
          <t>5.6</t>
        </is>
      </c>
      <c r="B47" s="17" t="inlineStr">
        <is>
          <t>Dispositivos antirretorno e proteção contra refluxo</t>
        </is>
      </c>
      <c r="C47" s="17" t="inlineStr">
        <is>
          <t>Há mangueira deixada conectada ou mergulhada (balde, tanque, ralo)? (S = risco)</t>
        </is>
      </c>
      <c r="D47" s="19" t="inlineStr"/>
      <c r="E47" s="19" t="inlineStr">
        <is>
          <t>N</t>
        </is>
      </c>
      <c r="F47" s="18" t="n"/>
      <c r="G47" s="18" t="n"/>
      <c r="H47" s="13" t="n"/>
      <c r="I47" s="19">
        <f>IF(F47="","Pendente",IF(F47="NA","N/A",IF(E47="info","Info",IF(F47="?",IF(D47="★","VERMELHO","AMARELO"),IF(F47=E47,"OK",IF(D47="★","VERMELHO","AMARELO"))))))</f>
        <v/>
      </c>
    </row>
    <row r="48">
      <c r="A48" s="19" t="inlineStr">
        <is>
          <t>5.7</t>
        </is>
      </c>
      <c r="B48" s="17" t="inlineStr">
        <is>
          <t>Dispositivos antirretorno e proteção contra refluxo</t>
        </is>
      </c>
      <c r="C48" s="17" t="inlineStr">
        <is>
          <t>Existe ponto de risco alto (reposição de circuito, reúso, incêndio, piscina) sem nenhum dispositivo? (S = escalar)</t>
        </is>
      </c>
      <c r="D48" s="19" t="inlineStr">
        <is>
          <t>★</t>
        </is>
      </c>
      <c r="E48" s="19" t="inlineStr">
        <is>
          <t>N</t>
        </is>
      </c>
      <c r="F48" s="18" t="n"/>
      <c r="G48" s="18" t="n"/>
      <c r="H48" s="13" t="n"/>
      <c r="I48" s="19">
        <f>IF(F48="","Pendente",IF(F48="NA","N/A",IF(E48="info","Info",IF(F48="?",IF(D48="★","VERMELHO","AMARELO"),IF(F48=E48,"OK",IF(D48="★","VERMELHO","AMARELO"))))))</f>
        <v/>
      </c>
    </row>
    <row r="50" ht="55" customHeight="1">
      <c r="C50" s="6" t="inlineStr">
        <is>
          <t>Como ler o Status: VERMELHO = item crítico (★) com resposta de risco ou '?': escalar ao síndico agora. AMARELO = item não crítico com risco ou '?': corrigir em prazo definido pelo síndico. OK = resposta esperada. Esta planilha não certifica dispositivo antirretorno nem teste de pressão: isso exige profissional habilitado.</t>
        </is>
      </c>
    </row>
  </sheetData>
  <mergeCells count="8">
    <mergeCell ref="A4:B4"/>
    <mergeCell ref="C2:E2"/>
    <mergeCell ref="A2:B2"/>
    <mergeCell ref="C50:H50"/>
    <mergeCell ref="C4:E4"/>
    <mergeCell ref="C3:E3"/>
    <mergeCell ref="G2:I4"/>
    <mergeCell ref="A3:B3"/>
  </mergeCells>
  <conditionalFormatting sqref="I7:I48">
    <cfRule type="expression" priority="1" dxfId="0">
      <formula>ISNUMBER(SEARCH("VERMELHO",I7))</formula>
    </cfRule>
    <cfRule type="expression" priority="2" dxfId="1">
      <formula>ISNUMBER(SEARCH("AMARELO",I7))</formula>
    </cfRule>
    <cfRule type="expression" priority="3" dxfId="0">
      <formula>ISNUMBER(SEARCH("VENCIDO",I7))</formula>
    </cfRule>
    <cfRule type="expression" priority="4" dxfId="2">
      <formula>I7="OK"</formula>
    </cfRule>
    <cfRule type="expression" priority="5" dxfId="2">
      <formula>I7="Em dia"</formula>
    </cfRule>
    <cfRule type="expression" priority="6" dxfId="2">
      <formula>I7="VERDE"</formula>
    </cfRule>
  </conditionalFormatting>
  <dataValidations count="1">
    <dataValidation sqref="F7:F48" showDropDown="0" showInputMessage="0" showErrorMessage="1" allowBlank="1" error="Use S, N, ? ou NA" type="list">
      <formula1>"S,N,?,NA"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B85C12"/>
    <outlinePr summaryBelow="1" summaryRight="1"/>
    <pageSetUpPr/>
  </sheetPr>
  <dimension ref="A1:T41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9" customWidth="1" min="4" max="4"/>
    <col width="24" customWidth="1" min="5" max="5"/>
    <col width="34" customWidth="1" min="6" max="6"/>
    <col width="26" customWidth="1" min="7" max="7"/>
    <col width="36" customWidth="1" min="8" max="8"/>
    <col width="16" customWidth="1" min="9" max="9"/>
    <col width="28" customWidth="1" min="10" max="10"/>
    <col width="28" customWidth="1" min="11" max="11"/>
    <col width="30" customWidth="1" min="12" max="12"/>
    <col width="28" customWidth="1" min="13" max="13"/>
    <col width="28" customWidth="1" min="14" max="14"/>
    <col width="28" customWidth="1" min="15" max="15"/>
    <col width="16" customWidth="1" min="16" max="16"/>
    <col width="28" customWidth="1" min="17" max="17"/>
    <col width="30" customWidth="1" min="18" max="18"/>
    <col width="16" customWidth="1" min="19" max="19"/>
    <col width="10" customWidth="1" min="20" max="20"/>
  </cols>
  <sheetData>
    <row r="1" ht="32" customHeight="1">
      <c r="A1" s="15" t="inlineStr">
        <is>
          <t>Nº</t>
        </is>
      </c>
      <c r="B1" s="15" t="inlineStr">
        <is>
          <t>Data e hora do alerta</t>
        </is>
      </c>
      <c r="C1" s="15" t="inlineStr">
        <is>
          <t>Cenário (1-9)</t>
        </is>
      </c>
      <c r="D1" s="15" t="inlineStr">
        <is>
          <t>Ramo (A-F)</t>
        </is>
      </c>
      <c r="E1" s="15" t="inlineStr">
        <is>
          <t>Local (andar, ponto)</t>
        </is>
      </c>
      <c r="F1" s="15" t="inlineStr">
        <is>
          <t>O que foi observado</t>
        </is>
      </c>
      <c r="G1" s="15" t="inlineStr">
        <is>
          <t>Pessoas afetadas / atendimento</t>
        </is>
      </c>
      <c r="H1" s="15" t="inlineStr">
        <is>
          <t>Ações de contenção (o que, quem, hora)</t>
        </is>
      </c>
      <c r="I1" s="15" t="inlineStr">
        <is>
          <t>Níveis acionados</t>
        </is>
      </c>
      <c r="J1" s="15" t="inlineStr">
        <is>
          <t>Fornecedores / consultor acionados</t>
        </is>
      </c>
      <c r="K1" s="15" t="inlineStr">
        <is>
          <t>Coleta (pontos, laboratório)</t>
        </is>
      </c>
      <c r="L1" s="15" t="inlineStr">
        <is>
          <t>Causa confirmada</t>
        </is>
      </c>
      <c r="M1" s="15" t="inlineStr">
        <is>
          <t>Correção</t>
        </is>
      </c>
      <c r="N1" s="15" t="inlineStr">
        <is>
          <t>Limpeza e desinfecção</t>
        </is>
      </c>
      <c r="O1" s="15" t="inlineStr">
        <is>
          <t>Resultado das análises / parecer</t>
        </is>
      </c>
      <c r="P1" s="15" t="inlineStr">
        <is>
          <t>Autorização do síndico (data)</t>
        </is>
      </c>
      <c r="Q1" s="15" t="inlineStr">
        <is>
          <t>Comunicações enviadas</t>
        </is>
      </c>
      <c r="R1" s="15" t="inlineStr">
        <is>
          <t>Lições / atualização da ficha</t>
        </is>
      </c>
      <c r="S1" s="15" t="inlineStr">
        <is>
          <t>Status</t>
        </is>
      </c>
      <c r="T1" s="15" t="inlineStr">
        <is>
          <t>Dias em aberto</t>
        </is>
      </c>
    </row>
    <row r="2">
      <c r="A2" s="3" t="n">
        <v>1</v>
      </c>
      <c r="B2" s="27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4" t="n"/>
      <c r="Q2" s="13" t="n"/>
      <c r="R2" s="13" t="n"/>
      <c r="S2" s="13" t="n"/>
      <c r="T2" s="3">
        <f>IF(OR(B2="",S2="Encerrado"),"",INT(TODAY()-B2))</f>
        <v/>
      </c>
    </row>
    <row r="3">
      <c r="A3" s="3" t="n">
        <v>2</v>
      </c>
      <c r="B3" s="27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4" t="n"/>
      <c r="Q3" s="13" t="n"/>
      <c r="R3" s="13" t="n"/>
      <c r="S3" s="13" t="n"/>
      <c r="T3" s="3">
        <f>IF(OR(B3="",S3="Encerrado"),"",INT(TODAY()-B3))</f>
        <v/>
      </c>
    </row>
    <row r="4">
      <c r="A4" s="3" t="n">
        <v>3</v>
      </c>
      <c r="B4" s="27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4" t="n"/>
      <c r="Q4" s="13" t="n"/>
      <c r="R4" s="13" t="n"/>
      <c r="S4" s="13" t="n"/>
      <c r="T4" s="3">
        <f>IF(OR(B4="",S4="Encerrado"),"",INT(TODAY()-B4))</f>
        <v/>
      </c>
    </row>
    <row r="5">
      <c r="A5" s="3" t="n">
        <v>4</v>
      </c>
      <c r="B5" s="27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4" t="n"/>
      <c r="Q5" s="13" t="n"/>
      <c r="R5" s="13" t="n"/>
      <c r="S5" s="13" t="n"/>
      <c r="T5" s="3">
        <f>IF(OR(B5="",S5="Encerrado"),"",INT(TODAY()-B5))</f>
        <v/>
      </c>
    </row>
    <row r="6">
      <c r="A6" s="3" t="n">
        <v>5</v>
      </c>
      <c r="B6" s="27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4" t="n"/>
      <c r="Q6" s="13" t="n"/>
      <c r="R6" s="13" t="n"/>
      <c r="S6" s="13" t="n"/>
      <c r="T6" s="3">
        <f>IF(OR(B6="",S6="Encerrado"),"",INT(TODAY()-B6))</f>
        <v/>
      </c>
    </row>
    <row r="7">
      <c r="A7" s="3" t="n">
        <v>6</v>
      </c>
      <c r="B7" s="27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4" t="n"/>
      <c r="Q7" s="13" t="n"/>
      <c r="R7" s="13" t="n"/>
      <c r="S7" s="13" t="n"/>
      <c r="T7" s="3">
        <f>IF(OR(B7="",S7="Encerrado"),"",INT(TODAY()-B7))</f>
        <v/>
      </c>
    </row>
    <row r="8">
      <c r="A8" s="3" t="n">
        <v>7</v>
      </c>
      <c r="B8" s="27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4" t="n"/>
      <c r="Q8" s="13" t="n"/>
      <c r="R8" s="13" t="n"/>
      <c r="S8" s="13" t="n"/>
      <c r="T8" s="3">
        <f>IF(OR(B8="",S8="Encerrado"),"",INT(TODAY()-B8))</f>
        <v/>
      </c>
    </row>
    <row r="9">
      <c r="A9" s="3" t="n">
        <v>8</v>
      </c>
      <c r="B9" s="27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4" t="n"/>
      <c r="Q9" s="13" t="n"/>
      <c r="R9" s="13" t="n"/>
      <c r="S9" s="13" t="n"/>
      <c r="T9" s="3">
        <f>IF(OR(B9="",S9="Encerrado"),"",INT(TODAY()-B9))</f>
        <v/>
      </c>
    </row>
    <row r="10">
      <c r="A10" s="3" t="n">
        <v>9</v>
      </c>
      <c r="B10" s="27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4" t="n"/>
      <c r="Q10" s="13" t="n"/>
      <c r="R10" s="13" t="n"/>
      <c r="S10" s="13" t="n"/>
      <c r="T10" s="3">
        <f>IF(OR(B10="",S10="Encerrado"),"",INT(TODAY()-B10))</f>
        <v/>
      </c>
    </row>
    <row r="11">
      <c r="A11" s="3" t="n">
        <v>10</v>
      </c>
      <c r="B11" s="27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4" t="n"/>
      <c r="Q11" s="13" t="n"/>
      <c r="R11" s="13" t="n"/>
      <c r="S11" s="13" t="n"/>
      <c r="T11" s="3">
        <f>IF(OR(B11="",S11="Encerrado"),"",INT(TODAY()-B11))</f>
        <v/>
      </c>
    </row>
    <row r="12">
      <c r="A12" s="3" t="n">
        <v>11</v>
      </c>
      <c r="B12" s="27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4" t="n"/>
      <c r="Q12" s="13" t="n"/>
      <c r="R12" s="13" t="n"/>
      <c r="S12" s="13" t="n"/>
      <c r="T12" s="3">
        <f>IF(OR(B12="",S12="Encerrado"),"",INT(TODAY()-B12))</f>
        <v/>
      </c>
    </row>
    <row r="13">
      <c r="A13" s="3" t="n">
        <v>12</v>
      </c>
      <c r="B13" s="27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4" t="n"/>
      <c r="Q13" s="13" t="n"/>
      <c r="R13" s="13" t="n"/>
      <c r="S13" s="13" t="n"/>
      <c r="T13" s="3">
        <f>IF(OR(B13="",S13="Encerrado"),"",INT(TODAY()-B13))</f>
        <v/>
      </c>
    </row>
    <row r="14">
      <c r="A14" s="3" t="n">
        <v>13</v>
      </c>
      <c r="B14" s="27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4" t="n"/>
      <c r="Q14" s="13" t="n"/>
      <c r="R14" s="13" t="n"/>
      <c r="S14" s="13" t="n"/>
      <c r="T14" s="3">
        <f>IF(OR(B14="",S14="Encerrado"),"",INT(TODAY()-B14))</f>
        <v/>
      </c>
    </row>
    <row r="15">
      <c r="A15" s="3" t="n">
        <v>14</v>
      </c>
      <c r="B15" s="27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4" t="n"/>
      <c r="Q15" s="13" t="n"/>
      <c r="R15" s="13" t="n"/>
      <c r="S15" s="13" t="n"/>
      <c r="T15" s="3">
        <f>IF(OR(B15="",S15="Encerrado"),"",INT(TODAY()-B15))</f>
        <v/>
      </c>
    </row>
    <row r="16">
      <c r="A16" s="3" t="n">
        <v>15</v>
      </c>
      <c r="B16" s="27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4" t="n"/>
      <c r="Q16" s="13" t="n"/>
      <c r="R16" s="13" t="n"/>
      <c r="S16" s="13" t="n"/>
      <c r="T16" s="3">
        <f>IF(OR(B16="",S16="Encerrado"),"",INT(TODAY()-B16))</f>
        <v/>
      </c>
    </row>
    <row r="17">
      <c r="A17" s="3" t="n">
        <v>16</v>
      </c>
      <c r="B17" s="27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4" t="n"/>
      <c r="Q17" s="13" t="n"/>
      <c r="R17" s="13" t="n"/>
      <c r="S17" s="13" t="n"/>
      <c r="T17" s="3">
        <f>IF(OR(B17="",S17="Encerrado"),"",INT(TODAY()-B17))</f>
        <v/>
      </c>
    </row>
    <row r="18">
      <c r="A18" s="3" t="n">
        <v>17</v>
      </c>
      <c r="B18" s="27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4" t="n"/>
      <c r="Q18" s="13" t="n"/>
      <c r="R18" s="13" t="n"/>
      <c r="S18" s="13" t="n"/>
      <c r="T18" s="3">
        <f>IF(OR(B18="",S18="Encerrado"),"",INT(TODAY()-B18))</f>
        <v/>
      </c>
    </row>
    <row r="19">
      <c r="A19" s="3" t="n">
        <v>18</v>
      </c>
      <c r="B19" s="27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4" t="n"/>
      <c r="Q19" s="13" t="n"/>
      <c r="R19" s="13" t="n"/>
      <c r="S19" s="13" t="n"/>
      <c r="T19" s="3">
        <f>IF(OR(B19="",S19="Encerrado"),"",INT(TODAY()-B19))</f>
        <v/>
      </c>
    </row>
    <row r="20">
      <c r="A20" s="3" t="n">
        <v>19</v>
      </c>
      <c r="B20" s="27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4" t="n"/>
      <c r="Q20" s="13" t="n"/>
      <c r="R20" s="13" t="n"/>
      <c r="S20" s="13" t="n"/>
      <c r="T20" s="3">
        <f>IF(OR(B20="",S20="Encerrado"),"",INT(TODAY()-B20))</f>
        <v/>
      </c>
    </row>
    <row r="21">
      <c r="A21" s="3" t="n">
        <v>20</v>
      </c>
      <c r="B21" s="27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4" t="n"/>
      <c r="Q21" s="13" t="n"/>
      <c r="R21" s="13" t="n"/>
      <c r="S21" s="13" t="n"/>
      <c r="T21" s="3">
        <f>IF(OR(B21="",S21="Encerrado"),"",INT(TODAY()-B21))</f>
        <v/>
      </c>
    </row>
    <row r="22">
      <c r="A22" s="3" t="n">
        <v>21</v>
      </c>
      <c r="B22" s="27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4" t="n"/>
      <c r="Q22" s="13" t="n"/>
      <c r="R22" s="13" t="n"/>
      <c r="S22" s="13" t="n"/>
      <c r="T22" s="3">
        <f>IF(OR(B22="",S22="Encerrado"),"",INT(TODAY()-B22))</f>
        <v/>
      </c>
    </row>
    <row r="23">
      <c r="A23" s="3" t="n">
        <v>22</v>
      </c>
      <c r="B23" s="27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4" t="n"/>
      <c r="Q23" s="13" t="n"/>
      <c r="R23" s="13" t="n"/>
      <c r="S23" s="13" t="n"/>
      <c r="T23" s="3">
        <f>IF(OR(B23="",S23="Encerrado"),"",INT(TODAY()-B23))</f>
        <v/>
      </c>
    </row>
    <row r="24">
      <c r="A24" s="3" t="n">
        <v>23</v>
      </c>
      <c r="B24" s="27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4" t="n"/>
      <c r="Q24" s="13" t="n"/>
      <c r="R24" s="13" t="n"/>
      <c r="S24" s="13" t="n"/>
      <c r="T24" s="3">
        <f>IF(OR(B24="",S24="Encerrado"),"",INT(TODAY()-B24))</f>
        <v/>
      </c>
    </row>
    <row r="25">
      <c r="A25" s="3" t="n">
        <v>24</v>
      </c>
      <c r="B25" s="27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4" t="n"/>
      <c r="Q25" s="13" t="n"/>
      <c r="R25" s="13" t="n"/>
      <c r="S25" s="13" t="n"/>
      <c r="T25" s="3">
        <f>IF(OR(B25="",S25="Encerrado"),"",INT(TODAY()-B25))</f>
        <v/>
      </c>
    </row>
    <row r="26">
      <c r="A26" s="3" t="n">
        <v>25</v>
      </c>
      <c r="B26" s="27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4" t="n"/>
      <c r="Q26" s="13" t="n"/>
      <c r="R26" s="13" t="n"/>
      <c r="S26" s="13" t="n"/>
      <c r="T26" s="3">
        <f>IF(OR(B26="",S26="Encerrado"),"",INT(TODAY()-B26))</f>
        <v/>
      </c>
    </row>
    <row r="27">
      <c r="A27" s="3" t="n">
        <v>26</v>
      </c>
      <c r="B27" s="27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4" t="n"/>
      <c r="Q27" s="13" t="n"/>
      <c r="R27" s="13" t="n"/>
      <c r="S27" s="13" t="n"/>
      <c r="T27" s="3">
        <f>IF(OR(B27="",S27="Encerrado"),"",INT(TODAY()-B27))</f>
        <v/>
      </c>
    </row>
    <row r="28">
      <c r="A28" s="3" t="n">
        <v>27</v>
      </c>
      <c r="B28" s="27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4" t="n"/>
      <c r="Q28" s="13" t="n"/>
      <c r="R28" s="13" t="n"/>
      <c r="S28" s="13" t="n"/>
      <c r="T28" s="3">
        <f>IF(OR(B28="",S28="Encerrado"),"",INT(TODAY()-B28))</f>
        <v/>
      </c>
    </row>
    <row r="29">
      <c r="A29" s="3" t="n">
        <v>28</v>
      </c>
      <c r="B29" s="27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4" t="n"/>
      <c r="Q29" s="13" t="n"/>
      <c r="R29" s="13" t="n"/>
      <c r="S29" s="13" t="n"/>
      <c r="T29" s="3">
        <f>IF(OR(B29="",S29="Encerrado"),"",INT(TODAY()-B29))</f>
        <v/>
      </c>
    </row>
    <row r="30">
      <c r="A30" s="3" t="n">
        <v>29</v>
      </c>
      <c r="B30" s="27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4" t="n"/>
      <c r="Q30" s="13" t="n"/>
      <c r="R30" s="13" t="n"/>
      <c r="S30" s="13" t="n"/>
      <c r="T30" s="3">
        <f>IF(OR(B30="",S30="Encerrado"),"",INT(TODAY()-B30))</f>
        <v/>
      </c>
    </row>
    <row r="31">
      <c r="A31" s="3" t="n">
        <v>30</v>
      </c>
      <c r="B31" s="27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4" t="n"/>
      <c r="Q31" s="13" t="n"/>
      <c r="R31" s="13" t="n"/>
      <c r="S31" s="13" t="n"/>
      <c r="T31" s="3">
        <f>IF(OR(B31="",S31="Encerrado"),"",INT(TODAY()-B31))</f>
        <v/>
      </c>
    </row>
    <row r="32">
      <c r="A32" s="3" t="n">
        <v>31</v>
      </c>
      <c r="B32" s="27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4" t="n"/>
      <c r="Q32" s="13" t="n"/>
      <c r="R32" s="13" t="n"/>
      <c r="S32" s="13" t="n"/>
      <c r="T32" s="3">
        <f>IF(OR(B32="",S32="Encerrado"),"",INT(TODAY()-B32))</f>
        <v/>
      </c>
    </row>
    <row r="33">
      <c r="A33" s="3" t="n">
        <v>32</v>
      </c>
      <c r="B33" s="27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4" t="n"/>
      <c r="Q33" s="13" t="n"/>
      <c r="R33" s="13" t="n"/>
      <c r="S33" s="13" t="n"/>
      <c r="T33" s="3">
        <f>IF(OR(B33="",S33="Encerrado"),"",INT(TODAY()-B33))</f>
        <v/>
      </c>
    </row>
    <row r="34">
      <c r="A34" s="3" t="n">
        <v>33</v>
      </c>
      <c r="B34" s="27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4" t="n"/>
      <c r="Q34" s="13" t="n"/>
      <c r="R34" s="13" t="n"/>
      <c r="S34" s="13" t="n"/>
      <c r="T34" s="3">
        <f>IF(OR(B34="",S34="Encerrado"),"",INT(TODAY()-B34))</f>
        <v/>
      </c>
    </row>
    <row r="35">
      <c r="A35" s="3" t="n">
        <v>34</v>
      </c>
      <c r="B35" s="27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4" t="n"/>
      <c r="Q35" s="13" t="n"/>
      <c r="R35" s="13" t="n"/>
      <c r="S35" s="13" t="n"/>
      <c r="T35" s="3">
        <f>IF(OR(B35="",S35="Encerrado"),"",INT(TODAY()-B35))</f>
        <v/>
      </c>
    </row>
    <row r="36">
      <c r="A36" s="3" t="n">
        <v>35</v>
      </c>
      <c r="B36" s="27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4" t="n"/>
      <c r="Q36" s="13" t="n"/>
      <c r="R36" s="13" t="n"/>
      <c r="S36" s="13" t="n"/>
      <c r="T36" s="3">
        <f>IF(OR(B36="",S36="Encerrado"),"",INT(TODAY()-B36))</f>
        <v/>
      </c>
    </row>
    <row r="37">
      <c r="A37" s="3" t="n">
        <v>36</v>
      </c>
      <c r="B37" s="27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4" t="n"/>
      <c r="Q37" s="13" t="n"/>
      <c r="R37" s="13" t="n"/>
      <c r="S37" s="13" t="n"/>
      <c r="T37" s="3">
        <f>IF(OR(B37="",S37="Encerrado"),"",INT(TODAY()-B37))</f>
        <v/>
      </c>
    </row>
    <row r="38">
      <c r="A38" s="3" t="n">
        <v>37</v>
      </c>
      <c r="B38" s="27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4" t="n"/>
      <c r="Q38" s="13" t="n"/>
      <c r="R38" s="13" t="n"/>
      <c r="S38" s="13" t="n"/>
      <c r="T38" s="3">
        <f>IF(OR(B38="",S38="Encerrado"),"",INT(TODAY()-B38))</f>
        <v/>
      </c>
    </row>
    <row r="39">
      <c r="A39" s="3" t="n">
        <v>38</v>
      </c>
      <c r="B39" s="27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4" t="n"/>
      <c r="Q39" s="13" t="n"/>
      <c r="R39" s="13" t="n"/>
      <c r="S39" s="13" t="n"/>
      <c r="T39" s="3">
        <f>IF(OR(B39="",S39="Encerrado"),"",INT(TODAY()-B39))</f>
        <v/>
      </c>
    </row>
    <row r="40">
      <c r="A40" s="3" t="n">
        <v>39</v>
      </c>
      <c r="B40" s="27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4" t="n"/>
      <c r="Q40" s="13" t="n"/>
      <c r="R40" s="13" t="n"/>
      <c r="S40" s="13" t="n"/>
      <c r="T40" s="3">
        <f>IF(OR(B40="",S40="Encerrado"),"",INT(TODAY()-B40))</f>
        <v/>
      </c>
    </row>
    <row r="41">
      <c r="A41" s="3" t="n">
        <v>40</v>
      </c>
      <c r="B41" s="27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4" t="n"/>
      <c r="Q41" s="13" t="n"/>
      <c r="R41" s="13" t="n"/>
      <c r="S41" s="13" t="n"/>
      <c r="T41" s="3">
        <f>IF(OR(B41="",S41="Encerrado"),"",INT(TODAY()-B41))</f>
        <v/>
      </c>
    </row>
  </sheetData>
  <dataValidations count="3">
    <dataValidation sqref="C2:C41" showDropDown="0" showInputMessage="0" showErrorMessage="0" allowBlank="1" type="list">
      <formula1>"1,2,3,4,5,6,7,8,9"</formula1>
    </dataValidation>
    <dataValidation sqref="D2:D41" showDropDown="0" showInputMessage="0" showErrorMessage="0" allowBlank="1" type="list">
      <formula1>"A,B,C,D,E,F"</formula1>
    </dataValidation>
    <dataValidation sqref="S2:S41" showDropDown="0" showInputMessage="0" showErrorMessage="0" allowBlank="1" type="list">
      <formula1>"Aberto,Em investigação,Aguardando análise,Encerrado"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2026-10-02T18:27:25Z</dcterms:created>
  <dcterms:modified xmlns:dcterms="http://purl.org/dc/terms/" xmlns:xsi="http://www.w3.org/2001/XMLSchema-instance" xsi:type="dcterms:W3CDTF">2026-10-02T18:27:25Z</dcterms:modified>
</cp:coreProperties>
</file>